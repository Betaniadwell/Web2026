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N16" i="5" l="1"/>
  <c r="N20" i="5"/>
  <c r="G11" i="5" l="1"/>
  <c r="F40" i="5" l="1"/>
  <c r="E40" i="5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1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L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15/5</t>
        </r>
      </text>
    </comment>
    <comment ref="E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Saldo a favor hasta 07/26
</t>
        </r>
      </text>
    </comment>
    <comment ref="L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15/5</t>
        </r>
      </text>
    </comment>
    <comment ref="G1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15/5</t>
        </r>
      </text>
    </comment>
    <comment ref="G13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15/5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<sst xmlns="http://schemas.openxmlformats.org/spreadsheetml/2006/main" count="291" uniqueCount="207">
  <si>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</si>
  <si>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</si>
  <si>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</si>
  <si>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</si>
  <si>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</si>
  <si>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</si>
  <si>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</si>
  <si>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</si>
  <si>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</si>
  <si>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</si>
  <si>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</si>
  <si>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</si>
  <si>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</si>
  <si>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</si>
  <si>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</si>
  <si>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</si>
  <si>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</si>
  <si>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</si>
  <si>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</si>
  <si>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</si>
  <si>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</si>
  <si>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</si>
  <si>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</si>
  <si>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</si>
  <si>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</si>
  <si>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</si>
  <si>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</si>
  <si>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</si>
  <si>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</si>
  <si>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</si>
  <si>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</si>
  <si>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</si>
  <si>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</si>
  <si>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</si>
  <si>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</si>
  <si>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</si>
  <si>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</si>
  <si>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</si>
  <si>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</si>
  <si>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</si>
  <si>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</si>
  <si>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</si>
  <si>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</si>
  <si>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</si>
  <si>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</si>
  <si>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</si>
  <si>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</si>
  <si>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</si>
  <si>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</si>
  <si>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</si>
  <si>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</si>
  <si>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</si>
  <si>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</si>
  <si>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</si>
  <si>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</si>
  <si>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</si>
  <si>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</si>
  <si>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</si>
  <si>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</si>
  <si>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</si>
  <si>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</si>
  <si>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</si>
  <si>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</si>
  <si>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</si>
  <si>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</si>
  <si>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</si>
  <si>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</si>
  <si>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</si>
  <si>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</si>
  <si>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</si>
  <si>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</si>
  <si>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</si>
  <si>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</si>
  <si>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</si>
  <si>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</si>
  <si>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</si>
  <si>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</si>
  <si>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</si>
  <si>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</si>
  <si>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</si>
  <si>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</si>
  <si>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</si>
  <si>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</si>
  <si>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</si>
  <si>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</si>
  <si>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</si>
  <si>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</si>
  <si>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</si>
  <si>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</si>
  <si>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</si>
  <si>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</si>
  <si>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</si>
  <si>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</si>
  <si>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</si>
  <si>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</si>
  <si>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</si>
  <si>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</si>
  <si>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</si>
  <si>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</si>
  <si>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</si>
  <si>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</si>
  <si>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</si>
  <si>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</si>
  <si>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</si>
  <si>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</si>
  <si>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</si>
  <si>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</si>
  <si>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</si>
  <si>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</si>
  <si>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</si>
  <si>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</si>
  <si>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</si>
  <si>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</si>
  <si>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</si>
  <si>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</si>
  <si>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</si>
  <si>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</si>
  <si>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</si>
  <si>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</si>
  <si>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</si>
  <si>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</si>
  <si>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</si>
  <si>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</si>
  <si>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</si>
  <si>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</si>
  <si>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</si>
  <si>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</si>
  <si>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</si>
  <si>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</si>
  <si>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</si>
  <si>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</si>
  <si>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</si>
  <si>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</si>
  <si>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</si>
  <si>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</si>
  <si>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</si>
  <si>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</si>
  <si>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</si>
  <si>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</si>
  <si>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</si>
  <si>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</si>
  <si>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</si>
  <si>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</si>
  <si>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</si>
  <si>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</si>
  <si>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</si>
  <si>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</si>
  <si>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</si>
  <si>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</si>
  <si>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</si>
  <si>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</si>
  <si>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</si>
  <si>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</si>
  <si>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</si>
  <si>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</si>
  <si>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</si>
  <si>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</si>
  <si>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</si>
  <si>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</si>
  <si>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</si>
  <si>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</si>
  <si>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</si>
  <si>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</si>
  <si>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</si>
  <si>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</si>
  <si>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</si>
  <si>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</si>
  <si>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</si>
  <si>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</si>
  <si>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</si>
  <si>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</si>
  <si>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>Y P F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</si>
  <si>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</si>
  <si>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</si>
  <si>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</si>
  <si>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</si>
  <si>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</si>
  <si>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</si>
  <si>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</si>
  <si>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</si>
  <si>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</si>
  <si>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</si>
  <si>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</si>
  <si>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</si>
  <si>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</si>
  <si>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</si>
  <si>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</si>
  <si>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</si>
  <si>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</si>
  <si>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</si>
  <si>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</si>
  <si>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</si>
  <si>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</si>
  <si>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Patente</t>
  </si>
  <si>
    <t>Serv e Impuestos</t>
  </si>
  <si>
    <t>Prerstamos</t>
  </si>
  <si>
    <t>Capital</t>
  </si>
  <si>
    <t>Cuota</t>
  </si>
  <si>
    <t>Cantidad</t>
  </si>
  <si>
    <t>Vto</t>
  </si>
  <si>
    <t>Frances</t>
  </si>
  <si>
    <t>MercadoPago</t>
  </si>
  <si>
    <t>Carrefour</t>
  </si>
  <si>
    <t>PrestamCArrefour</t>
  </si>
  <si>
    <t xml:space="preserve">Cuent corriente </t>
  </si>
  <si>
    <t xml:space="preserve"> Carref Omar</t>
  </si>
  <si>
    <t>Vto Prestamos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</si>
</sst>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3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i/>
      <sz val="11"/>
      <color theme="4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4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8" fillId="3" borderId="2" xfId="0" applyFont="1" applyFill="1" applyBorder="1"/>
    <xf numFmtId="0" fontId="12" fillId="26" borderId="12" xfId="0" applyFont="1" applyFill="1" applyBorder="1"/>
    <xf numFmtId="0" fontId="12" fillId="26" borderId="2" xfId="0" applyFont="1" applyFill="1" applyBorder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49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49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1" fillId="26" borderId="35" xfId="0" applyFont="1" applyFill="1" applyBorder="1" applyAlignment="1">
      <alignment horizontal="center"/>
    </xf>
    <xf numFmtId="0" fontId="51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6" fillId="26" borderId="32" xfId="0" applyFont="1" applyFill="1" applyBorder="1"/>
    <xf numFmtId="0" fontId="7" fillId="26" borderId="14" xfId="0" applyFont="1" applyFill="1" applyBorder="1"/>
    <xf numFmtId="0" fontId="46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5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1" fillId="26" borderId="44" xfId="0" applyNumberFormat="1" applyFont="1" applyFill="1" applyBorder="1"/>
    <xf numFmtId="0" fontId="52" fillId="26" borderId="24" xfId="0" applyFont="1" applyFill="1" applyBorder="1"/>
    <xf numFmtId="0" fontId="12" fillId="26" borderId="14" xfId="0" applyFont="1" applyFill="1" applyBorder="1"/>
    <xf numFmtId="0" fontId="50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7" fillId="26" borderId="7" xfId="0" applyFont="1" applyFill="1" applyBorder="1"/>
    <xf numFmtId="0" fontId="29" fillId="26" borderId="2" xfId="0" applyFont="1" applyFill="1" applyBorder="1" applyAlignment="1">
      <alignment horizontal="center"/>
    </xf>
    <xf numFmtId="0" fontId="50" fillId="26" borderId="7" xfId="0" applyNumberFormat="1" applyFont="1" applyFill="1" applyBorder="1"/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0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5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17" fillId="35" borderId="22" xfId="0" applyFont="1" applyFill="1" applyBorder="1" applyAlignment="1">
      <alignment horizontal="center"/>
    </xf>
    <xf numFmtId="0" fontId="53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3" fillId="26" borderId="2" xfId="0" applyNumberFormat="1" applyFont="1" applyFill="1" applyBorder="1"/>
    <xf numFmtId="2" fontId="53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0" fontId="49" fillId="26" borderId="14" xfId="0" applyFont="1" applyFill="1" applyBorder="1"/>
    <xf numFmtId="2" fontId="7" fillId="35" borderId="2" xfId="0" applyNumberFormat="1" applyFont="1" applyFill="1" applyBorder="1" applyAlignment="1">
      <alignment horizontal="center"/>
    </xf>
    <xf numFmtId="0" fontId="49" fillId="35" borderId="2" xfId="0" applyFont="1" applyFill="1" applyBorder="1"/>
    <xf numFmtId="0" fontId="12" fillId="35" borderId="2" xfId="0" applyFont="1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0" fillId="35" borderId="12" xfId="0" applyFont="1" applyFill="1" applyBorder="1"/>
    <xf numFmtId="0" fontId="7" fillId="4" borderId="7" xfId="0" applyFont="1" applyFill="1" applyBorder="1"/>
    <xf numFmtId="0" fontId="45" fillId="35" borderId="7" xfId="0" applyFont="1" applyFill="1" applyBorder="1" applyAlignment="1">
      <alignment horizontal="right"/>
    </xf>
    <xf numFmtId="0" fontId="45" fillId="26" borderId="7" xfId="0" applyFont="1" applyFill="1" applyBorder="1" applyAlignment="1">
      <alignment horizontal="right"/>
    </xf>
    <xf numFmtId="0" fontId="56" fillId="26" borderId="7" xfId="0" applyFont="1" applyFill="1" applyBorder="1" applyAlignment="1">
      <alignment horizontal="right"/>
    </xf>
    <xf numFmtId="0" fontId="17" fillId="26" borderId="13" xfId="0" applyFont="1" applyFill="1" applyBorder="1" applyAlignment="1">
      <alignment horizontal="right"/>
    </xf>
    <xf numFmtId="2" fontId="53" fillId="26" borderId="11" xfId="0" applyNumberFormat="1" applyFont="1" applyFill="1" applyBorder="1" applyAlignment="1">
      <alignment horizontal="right"/>
    </xf>
    <xf numFmtId="0" fontId="15" fillId="35" borderId="2" xfId="0" applyFont="1" applyFill="1" applyBorder="1"/>
    <xf numFmtId="0" fontId="0" fillId="28" borderId="0" xfId="0" applyFill="1"/>
    <xf numFmtId="0" fontId="58" fillId="35" borderId="2" xfId="0" applyFont="1" applyFill="1" applyBorder="1"/>
    <xf numFmtId="0" fontId="57" fillId="35" borderId="19" xfId="0" applyFont="1" applyFill="1" applyBorder="1"/>
    <xf numFmtId="0" fontId="57" fillId="35" borderId="2" xfId="0" applyFont="1" applyFill="1" applyBorder="1"/>
    <xf numFmtId="0" fontId="0" fillId="28" borderId="18" xfId="0" applyFill="1" applyBorder="1"/>
    <xf numFmtId="0" fontId="29" fillId="28" borderId="18" xfId="0" applyFont="1" applyFill="1" applyBorder="1"/>
    <xf numFmtId="0" fontId="7" fillId="28" borderId="2" xfId="0" applyFont="1" applyFill="1" applyBorder="1" applyAlignment="1">
      <alignment horizontal="right"/>
    </xf>
    <xf numFmtId="0" fontId="29" fillId="26" borderId="7" xfId="0" applyFont="1" applyFill="1" applyBorder="1" applyAlignment="1">
      <alignment horizontal="center"/>
    </xf>
    <xf numFmtId="0" fontId="0" fillId="26" borderId="19" xfId="0" applyFill="1" applyBorder="1"/>
    <xf numFmtId="0" fontId="7" fillId="26" borderId="23" xfId="0" applyFont="1" applyFill="1" applyBorder="1" applyAlignment="1">
      <alignment horizontal="center"/>
    </xf>
    <xf numFmtId="16" fontId="29" fillId="26" borderId="12" xfId="0" applyNumberFormat="1" applyFont="1" applyFill="1" applyBorder="1"/>
    <xf numFmtId="16" fontId="29" fillId="6" borderId="45" xfId="0" applyNumberFormat="1" applyFont="1" applyFill="1" applyBorder="1"/>
    <xf numFmtId="2" fontId="29" fillId="6" borderId="46" xfId="0" applyNumberFormat="1" applyFont="1" applyFill="1" applyBorder="1"/>
    <xf numFmtId="16" fontId="29" fillId="6" borderId="47" xfId="0" applyNumberFormat="1" applyFont="1" applyFill="1" applyBorder="1"/>
    <xf numFmtId="0" fontId="29" fillId="6" borderId="7" xfId="0" applyFont="1" applyFill="1" applyBorder="1"/>
    <xf numFmtId="0" fontId="29" fillId="6" borderId="47" xfId="0" applyFont="1" applyFill="1" applyBorder="1" applyAlignment="1">
      <alignment horizontal="right"/>
    </xf>
    <xf numFmtId="0" fontId="0" fillId="6" borderId="21" xfId="0" applyFill="1" applyBorder="1"/>
    <xf numFmtId="0" fontId="29" fillId="6" borderId="31" xfId="0" applyFont="1" applyFill="1" applyBorder="1" applyAlignment="1">
      <alignment horizontal="right"/>
    </xf>
    <xf numFmtId="0" fontId="29" fillId="6" borderId="20" xfId="0" applyFont="1" applyFill="1" applyBorder="1"/>
    <xf numFmtId="0" fontId="29" fillId="6" borderId="48" xfId="0" applyFont="1" applyFill="1" applyBorder="1" applyAlignment="1">
      <alignment horizontal="right"/>
    </xf>
    <xf numFmtId="0" fontId="29" fillId="6" borderId="49" xfId="0" applyFont="1" applyFill="1" applyBorder="1"/>
    <xf numFmtId="0" fontId="0" fillId="6" borderId="50" xfId="0" applyFill="1" applyBorder="1"/>
    <xf numFmtId="0" fontId="12" fillId="35" borderId="2" xfId="0" applyFont="1" applyFill="1" applyBorder="1" applyAlignment="1">
      <alignment horizontal="center"/>
    </xf>
    <xf numFmtId="0" fontId="12" fillId="26" borderId="2" xfId="0" applyFont="1" applyFill="1" applyBorder="1" applyAlignment="1">
      <alignment horizontal="center"/>
    </xf>
    <xf numFmtId="0" fontId="12" fillId="26" borderId="11" xfId="0" applyFont="1" applyFill="1" applyBorder="1" applyAlignment="1">
      <alignment horizontal="center"/>
    </xf>
    <xf numFmtId="0" fontId="12" fillId="26" borderId="13" xfId="0" applyFont="1" applyFill="1" applyBorder="1" applyAlignment="1">
      <alignment horizontal="center"/>
    </xf>
    <xf numFmtId="0" fontId="12" fillId="26" borderId="2" xfId="0" applyFont="1" applyFill="1" applyBorder="1" applyAlignment="1"/>
    <xf numFmtId="0" fontId="12" fillId="26" borderId="11" xfId="0" applyFont="1" applyFill="1" applyBorder="1" applyAlignment="1"/>
    <xf numFmtId="0" fontId="0" fillId="35" borderId="2" xfId="0" applyFill="1" applyBorder="1" applyAlignment="1"/>
    <xf numFmtId="0" fontId="12" fillId="26" borderId="38" xfId="0" applyFont="1" applyFill="1" applyBorder="1" applyAlignment="1"/>
    <xf numFmtId="0" fontId="60" fillId="35" borderId="11" xfId="0" applyFont="1" applyFill="1" applyBorder="1" applyAlignment="1"/>
    <xf numFmtId="0" fontId="60" fillId="35" borderId="2" xfId="0" applyFont="1" applyFill="1" applyBorder="1" applyAlignment="1"/>
    <xf numFmtId="0" fontId="12" fillId="26" borderId="0" xfId="0" applyFont="1" applyFill="1" applyAlignment="1">
      <alignment horizontal="center"/>
    </xf>
    <xf numFmtId="0" fontId="12" fillId="26" borderId="7" xfId="0" applyFont="1" applyFill="1" applyBorder="1" applyAlignment="1">
      <alignment horizontal="center"/>
    </xf>
    <xf numFmtId="0" fontId="61" fillId="35" borderId="2" xfId="0" applyFont="1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1" xfId="0" applyFill="1" applyBorder="1" applyAlignment="1"/>
    <xf numFmtId="0" fontId="7" fillId="35" borderId="1" xfId="0" applyFont="1" applyFill="1" applyBorder="1" applyAlignment="1"/>
    <xf numFmtId="0" fontId="0" fillId="35" borderId="7" xfId="0" applyFill="1" applyBorder="1" applyAlignment="1">
      <alignment horizontal="center"/>
    </xf>
    <xf numFmtId="0" fontId="3" fillId="35" borderId="11" xfId="0" applyFont="1" applyFill="1" applyBorder="1" applyAlignment="1"/>
    <xf numFmtId="0" fontId="32" fillId="35" borderId="2" xfId="0" applyFont="1" applyFill="1" applyBorder="1"/>
    <xf numFmtId="0" fontId="12" fillId="26" borderId="19" xfId="0" applyFont="1" applyFill="1" applyBorder="1"/>
    <xf numFmtId="0" fontId="12" fillId="35" borderId="7" xfId="0" applyFont="1" applyFill="1" applyBorder="1" applyAlignment="1">
      <alignment horizontal="right"/>
    </xf>
    <xf numFmtId="0" fontId="12" fillId="35" borderId="2" xfId="0" applyFont="1" applyFill="1" applyBorder="1" applyAlignment="1"/>
    <xf numFmtId="0" fontId="12" fillId="35" borderId="2" xfId="0" applyNumberFormat="1" applyFont="1" applyFill="1" applyBorder="1" applyAlignment="1">
      <alignment horizontal="center"/>
    </xf>
    <xf numFmtId="0" fontId="0" fillId="35" borderId="18" xfId="0" applyFont="1" applyFill="1" applyBorder="1"/>
    <xf numFmtId="0" fontId="0" fillId="35" borderId="13" xfId="0" applyFill="1" applyBorder="1"/>
    <xf numFmtId="0" fontId="0" fillId="35" borderId="12" xfId="0" applyFill="1" applyBorder="1"/>
    <xf numFmtId="0" fontId="0" fillId="35" borderId="13" xfId="0" applyFont="1" applyFill="1" applyBorder="1" applyAlignment="1">
      <alignment horizontal="center"/>
    </xf>
    <xf numFmtId="0" fontId="0" fillId="35" borderId="11" xfId="0" applyFill="1" applyBorder="1"/>
    <xf numFmtId="0" fontId="0" fillId="35" borderId="18" xfId="0" applyFill="1" applyBorder="1"/>
    <xf numFmtId="0" fontId="36" fillId="35" borderId="2" xfId="0" applyFont="1" applyFill="1" applyBorder="1"/>
    <xf numFmtId="16" fontId="0" fillId="35" borderId="2" xfId="0" applyNumberFormat="1" applyFill="1" applyBorder="1"/>
    <xf numFmtId="16" fontId="0" fillId="35" borderId="18" xfId="0" applyNumberFormat="1" applyFill="1" applyBorder="1"/>
    <xf numFmtId="0" fontId="7" fillId="35" borderId="11" xfId="0" applyFont="1" applyFill="1" applyBorder="1" applyAlignment="1">
      <alignment horizontal="right"/>
    </xf>
    <xf numFmtId="0" fontId="0" fillId="35" borderId="12" xfId="0" applyFill="1" applyBorder="1" applyAlignment="1">
      <alignment horizontal="right"/>
    </xf>
    <xf numFmtId="0" fontId="0" fillId="35" borderId="2" xfId="0" applyFill="1" applyBorder="1" applyAlignment="1">
      <alignment horizontal="right"/>
    </xf>
    <xf numFmtId="0" fontId="0" fillId="35" borderId="16" xfId="0" applyFill="1" applyBorder="1"/>
    <xf numFmtId="0" fontId="0" fillId="35" borderId="33" xfId="0" applyFill="1" applyBorder="1"/>
    <xf numFmtId="0" fontId="0" fillId="28" borderId="7" xfId="0" applyFill="1" applyBorder="1"/>
    <xf numFmtId="0" fontId="7" fillId="28" borderId="7" xfId="0" applyFont="1" applyFill="1" applyBorder="1"/>
    <xf numFmtId="0" fontId="7" fillId="28" borderId="7" xfId="0" applyFont="1" applyFill="1" applyBorder="1" applyAlignment="1">
      <alignment horizontal="right"/>
    </xf>
    <xf numFmtId="2" fontId="50" fillId="35" borderId="2" xfId="0" applyNumberFormat="1" applyFont="1" applyFill="1" applyBorder="1"/>
    <xf numFmtId="0" fontId="7" fillId="35" borderId="7" xfId="0" applyFont="1" applyFill="1" applyBorder="1"/>
    <xf numFmtId="0" fontId="10" fillId="35" borderId="7" xfId="0" applyFont="1" applyFill="1" applyBorder="1"/>
    <xf numFmtId="0" fontId="9" fillId="35" borderId="0" xfId="0" applyFont="1" applyFill="1"/>
    <xf numFmtId="0" fontId="7" fillId="35" borderId="1" xfId="0" applyFont="1" applyFill="1" applyBorder="1"/>
    <xf numFmtId="2" fontId="17" fillId="35" borderId="2" xfId="0" applyNumberFormat="1" applyFont="1" applyFill="1" applyBorder="1" applyAlignment="1">
      <alignment horizontal="right"/>
    </xf>
    <xf numFmtId="2" fontId="17" fillId="35" borderId="11" xfId="0" applyNumberFormat="1" applyFont="1" applyFill="1" applyBorder="1" applyAlignment="1">
      <alignment horizontal="right"/>
    </xf>
    <xf numFmtId="0" fontId="59" fillId="35" borderId="7" xfId="0" applyFont="1" applyFill="1" applyBorder="1" applyAlignment="1">
      <alignment horizontal="center"/>
    </xf>
    <xf numFmtId="2" fontId="17" fillId="2" borderId="18" xfId="0" applyNumberFormat="1" applyFont="1" applyFill="1" applyBorder="1" applyAlignment="1">
      <alignment horizontal="right"/>
    </xf>
    <xf numFmtId="2" fontId="57" fillId="35" borderId="2" xfId="0" applyNumberFormat="1" applyFont="1" applyFill="1" applyBorder="1"/>
    <xf numFmtId="0" fontId="0" fillId="35" borderId="12" xfId="0" applyFont="1" applyFill="1" applyBorder="1"/>
    <xf numFmtId="0" fontId="57" fillId="35" borderId="7" xfId="0" applyFont="1" applyFill="1" applyBorder="1"/>
    <xf numFmtId="0" fontId="7" fillId="35" borderId="11" xfId="0" applyFont="1" applyFill="1" applyBorder="1"/>
    <xf numFmtId="0" fontId="9" fillId="35" borderId="12" xfId="0" applyFont="1" applyFill="1" applyBorder="1"/>
    <xf numFmtId="0" fontId="0" fillId="6" borderId="7" xfId="0" applyFill="1" applyBorder="1"/>
    <xf numFmtId="0" fontId="0" fillId="28" borderId="2" xfId="0" applyFill="1" applyBorder="1"/>
    <xf numFmtId="0" fontId="29" fillId="28" borderId="2" xfId="0" applyFont="1" applyFill="1" applyBorder="1"/>
    <xf numFmtId="2" fontId="7" fillId="28" borderId="7" xfId="0" applyNumberFormat="1" applyFont="1" applyFill="1" applyBorder="1" applyAlignment="1">
      <alignment horizontal="center"/>
    </xf>
    <xf numFmtId="0" fontId="7" fillId="28" borderId="2" xfId="0" applyFont="1" applyFill="1" applyBorder="1"/>
    <xf numFmtId="0" fontId="17" fillId="28" borderId="2" xfId="0" applyFont="1" applyFill="1" applyBorder="1" applyAlignment="1">
      <alignment horizontal="right"/>
    </xf>
    <xf numFmtId="0" fontId="9" fillId="28" borderId="2" xfId="0" applyFont="1" applyFill="1" applyBorder="1"/>
    <xf numFmtId="2" fontId="17" fillId="28" borderId="2" xfId="0" applyNumberFormat="1" applyFont="1" applyFill="1" applyBorder="1" applyAlignment="1">
      <alignment horizontal="right"/>
    </xf>
    <xf numFmtId="2" fontId="0" fillId="28" borderId="2" xfId="0" applyNumberFormat="1" applyFill="1" applyBorder="1"/>
    <xf numFmtId="0" fontId="9" fillId="28" borderId="18" xfId="0" applyFont="1" applyFill="1" applyBorder="1"/>
    <xf numFmtId="0" fontId="29" fillId="28" borderId="13" xfId="0" applyFont="1" applyFill="1" applyBorder="1"/>
    <xf numFmtId="0" fontId="29" fillId="28" borderId="12" xfId="0" applyFont="1" applyFill="1" applyBorder="1"/>
    <xf numFmtId="0" fontId="9" fillId="28" borderId="7" xfId="0" applyFont="1" applyFill="1" applyBorder="1"/>
    <xf numFmtId="0" fontId="29" fillId="28" borderId="2" xfId="0" applyFont="1" applyFill="1" applyBorder="1" applyAlignment="1">
      <alignment horizontal="right"/>
    </xf>
    <xf numFmtId="2" fontId="17" fillId="35" borderId="1" xfId="0" applyNumberFormat="1" applyFont="1" applyFill="1" applyBorder="1" applyAlignment="1">
      <alignment horizontal="right"/>
    </xf>
    <xf numFmtId="0" fontId="7" fillId="31" borderId="9" xfId="0" applyFont="1" applyFill="1" applyBorder="1" applyAlignment="1">
      <alignment horizontal="center"/>
    </xf>
    <xf numFmtId="2" fontId="53" fillId="26" borderId="7" xfId="0" applyNumberFormat="1" applyFont="1" applyFill="1" applyBorder="1"/>
    <xf numFmtId="0" fontId="7" fillId="27" borderId="29" xfId="0" applyFont="1" applyFill="1" applyBorder="1" applyAlignment="1">
      <alignment horizontal="center"/>
    </xf>
    <xf numFmtId="0" fontId="0" fillId="28" borderId="13" xfId="0" applyFill="1" applyBorder="1"/>
    <xf numFmtId="2" fontId="17" fillId="28" borderId="7" xfId="0" applyNumberFormat="1" applyFont="1" applyFill="1" applyBorder="1" applyAlignment="1">
      <alignment horizontal="center"/>
    </xf>
    <xf numFmtId="2" fontId="32" fillId="35" borderId="2" xfId="0" applyNumberFormat="1" applyFont="1" applyFill="1" applyBorder="1"/>
    <xf numFmtId="0" fontId="45" fillId="35" borderId="2" xfId="0" applyFont="1" applyFill="1" applyBorder="1" applyAlignment="1">
      <alignment horizontal="right"/>
    </xf>
    <xf numFmtId="2" fontId="17" fillId="35" borderId="2" xfId="0" applyNumberFormat="1" applyFont="1" applyFill="1" applyBorder="1"/>
    <xf numFmtId="0" fontId="30" fillId="35" borderId="0" xfId="0" applyFont="1" applyFill="1" applyBorder="1" applyAlignment="1">
      <alignment horizontal="left"/>
    </xf>
    <xf numFmtId="0" fontId="30" fillId="35" borderId="18" xfId="0" applyFont="1" applyFill="1" applyBorder="1" applyAlignment="1">
      <alignment horizontal="left"/>
    </xf>
    <xf numFmtId="0" fontId="7" fillId="13" borderId="29" xfId="0" applyFont="1" applyFill="1" applyBorder="1" applyAlignment="1">
      <alignment horizontal="center"/>
    </xf>
    <xf numFmtId="0" fontId="9" fillId="35" borderId="13" xfId="0" applyFont="1" applyFill="1" applyBorder="1" applyAlignment="1">
      <alignment horizontal="center"/>
    </xf>
    <xf numFmtId="0" fontId="9" fillId="21" borderId="2" xfId="0" applyFont="1" applyFill="1" applyBorder="1"/>
    <xf numFmtId="2" fontId="53" fillId="26" borderId="19" xfId="0" applyNumberFormat="1" applyFont="1" applyFill="1" applyBorder="1"/>
    <xf numFmtId="16" fontId="9" fillId="35" borderId="2" xfId="0" applyNumberFormat="1" applyFont="1" applyFill="1" applyBorder="1" applyAlignment="1">
      <alignment horizontal="center"/>
    </xf>
    <xf numFmtId="2" fontId="7" fillId="28" borderId="2" xfId="0" applyNumberFormat="1" applyFont="1" applyFill="1" applyBorder="1" applyAlignment="1">
      <alignment horizontal="right"/>
    </xf>
    <xf numFmtId="0" fontId="0" fillId="28" borderId="2" xfId="0" applyFill="1" applyBorder="1" applyAlignment="1">
      <alignment horizontal="right"/>
    </xf>
    <xf numFmtId="2" fontId="29" fillId="28" borderId="2" xfId="0" applyNumberFormat="1" applyFont="1" applyFill="1" applyBorder="1" applyAlignment="1">
      <alignment horizontal="right"/>
    </xf>
    <xf numFmtId="0" fontId="29" fillId="28" borderId="12" xfId="0" applyFont="1" applyFill="1" applyBorder="1" applyAlignment="1">
      <alignment horizontal="right"/>
    </xf>
    <xf numFmtId="0" fontId="7" fillId="35" borderId="18" xfId="0" applyFont="1" applyFill="1" applyBorder="1"/>
    <xf numFmtId="2" fontId="50" fillId="35" borderId="7" xfId="0" applyNumberFormat="1" applyFont="1" applyFill="1" applyBorder="1"/>
    <xf numFmtId="2" fontId="0" fillId="35" borderId="7" xfId="0" applyNumberFormat="1" applyFill="1" applyBorder="1"/>
    <xf numFmtId="2" fontId="53" fillId="35" borderId="7" xfId="0" applyNumberFormat="1" applyFont="1" applyFill="1" applyBorder="1" applyAlignment="1">
      <alignment horizontal="right"/>
    </xf>
    <xf numFmtId="0" fontId="0" fillId="35" borderId="24" xfId="0" applyFill="1" applyBorder="1"/>
    <xf numFmtId="0" fontId="0" fillId="28" borderId="19" xfId="0" applyFill="1" applyBorder="1"/>
    <xf numFmtId="2" fontId="53" fillId="28" borderId="12" xfId="0" applyNumberFormat="1" applyFont="1" applyFill="1" applyBorder="1" applyAlignment="1">
      <alignment horizontal="right"/>
    </xf>
    <xf numFmtId="0" fontId="7" fillId="28" borderId="1" xfId="0" applyFont="1" applyFill="1" applyBorder="1"/>
    <xf numFmtId="2" fontId="17" fillId="6" borderId="7" xfId="0" applyNumberFormat="1" applyFont="1" applyFill="1" applyBorder="1"/>
    <xf numFmtId="2" fontId="9" fillId="8" borderId="1" xfId="0" applyNumberFormat="1" applyFont="1" applyFill="1" applyBorder="1"/>
    <xf numFmtId="2" fontId="17" fillId="8" borderId="7" xfId="0" applyNumberFormat="1" applyFont="1" applyFill="1" applyBorder="1"/>
    <xf numFmtId="2" fontId="17" fillId="8" borderId="18" xfId="0" applyNumberFormat="1" applyFont="1" applyFill="1" applyBorder="1" applyAlignment="1">
      <alignment horizontal="right"/>
    </xf>
    <xf numFmtId="2" fontId="0" fillId="8" borderId="19" xfId="0" applyNumberFormat="1" applyFill="1" applyBorder="1"/>
    <xf numFmtId="0" fontId="17" fillId="8" borderId="2" xfId="0" applyFont="1" applyFill="1" applyBorder="1"/>
    <xf numFmtId="2" fontId="62" fillId="26" borderId="7" xfId="0" applyNumberFormat="1" applyFont="1" applyFill="1" applyBorder="1" applyAlignment="1">
      <alignment horizontal="right"/>
    </xf>
    <xf numFmtId="0" fontId="0" fillId="21" borderId="0" xfId="0" applyFill="1"/>
    <xf numFmtId="2" fontId="17" fillId="2" borderId="18" xfId="0" applyNumberFormat="1" applyFont="1" applyFill="1" applyBorder="1"/>
    <xf numFmtId="0" fontId="0" fillId="28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72"/>
  <sheetViews>
    <sheetView tabSelected="1" topLeftCell="C1" zoomScale="89" zoomScaleNormal="89" workbookViewId="0">
      <selection activeCell="L15" sqref="L15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4.7109375" customWidth="1"/>
    <col min="11" max="11" width="13.42578125" customWidth="1"/>
    <col min="12" max="12" width="17.5703125" customWidth="1"/>
    <col min="13" max="13" width="17" customWidth="1"/>
    <col min="14" max="14" width="17.28515625" customWidth="1"/>
    <col min="15" max="15" width="10" bestFit="1" customWidth="1"/>
    <col min="16" max="16" width="12" bestFit="1" customWidth="1"/>
  </cols>
  <sheetData>
    <row r="1" spans="1:17" ht="15.75" x14ac:dyDescent="0.25">
      <c r="A1" s="291" t="s">
        <v>185</v>
      </c>
      <c r="B1" s="293"/>
      <c r="C1" s="359" t="s">
        <v>1</v>
      </c>
      <c r="D1" s="265" t="s">
        <v>2</v>
      </c>
      <c r="E1" s="265" t="s">
        <v>3</v>
      </c>
      <c r="F1" s="265" t="s">
        <v>181</v>
      </c>
      <c r="G1" s="266" t="s">
        <v>55</v>
      </c>
      <c r="H1" s="272"/>
      <c r="I1" s="344" t="s">
        <v>6</v>
      </c>
      <c r="J1" s="345" t="s">
        <v>30</v>
      </c>
      <c r="K1" s="371" t="s">
        <v>193</v>
      </c>
      <c r="L1" s="348"/>
      <c r="M1" s="446"/>
      <c r="N1" s="269"/>
      <c r="O1" s="50"/>
      <c r="P1" s="50"/>
      <c r="Q1" s="50"/>
    </row>
    <row r="2" spans="1:17" x14ac:dyDescent="0.25">
      <c r="A2" s="286"/>
      <c r="B2" s="294"/>
      <c r="C2" s="369"/>
      <c r="D2" s="365"/>
      <c r="E2" s="284"/>
      <c r="F2" s="370"/>
      <c r="G2" s="198"/>
      <c r="H2" s="269"/>
      <c r="I2" s="268"/>
      <c r="J2" s="363"/>
      <c r="K2" s="323"/>
      <c r="L2" s="378"/>
      <c r="M2" s="506"/>
      <c r="N2" s="269"/>
      <c r="O2" s="50"/>
      <c r="P2" s="50"/>
      <c r="Q2" s="50"/>
    </row>
    <row r="3" spans="1:17" x14ac:dyDescent="0.25">
      <c r="A3" s="286"/>
      <c r="B3" s="294"/>
      <c r="C3" s="284"/>
      <c r="D3" s="198"/>
      <c r="E3" s="198"/>
      <c r="F3" s="285"/>
      <c r="G3" s="269"/>
      <c r="H3" s="269"/>
      <c r="I3" s="198"/>
      <c r="J3" s="283"/>
      <c r="K3" s="323"/>
      <c r="L3" s="379"/>
      <c r="M3" s="446"/>
      <c r="N3" s="269"/>
      <c r="O3" s="50"/>
      <c r="P3" s="50"/>
      <c r="Q3" s="50"/>
    </row>
    <row r="4" spans="1:17" s="1" customFormat="1" ht="18.75" x14ac:dyDescent="0.3">
      <c r="A4" s="368" t="s">
        <v>41</v>
      </c>
      <c r="B4" s="269"/>
      <c r="C4" s="150">
        <v>37728</v>
      </c>
      <c r="D4" s="150">
        <v>24360</v>
      </c>
      <c r="E4" s="284">
        <v>9568</v>
      </c>
      <c r="F4" s="150">
        <v>25000</v>
      </c>
      <c r="G4" s="269"/>
      <c r="H4" s="269"/>
      <c r="I4" s="284">
        <v>12165</v>
      </c>
      <c r="J4" s="459"/>
      <c r="K4" s="323"/>
      <c r="L4" s="378"/>
      <c r="M4" s="446"/>
      <c r="N4" s="269"/>
      <c r="O4" s="50"/>
      <c r="P4" s="50"/>
      <c r="Q4" s="50"/>
    </row>
    <row r="5" spans="1:17" x14ac:dyDescent="0.25">
      <c r="A5" s="286"/>
      <c r="B5" s="294"/>
      <c r="C5" s="284"/>
      <c r="D5" s="284"/>
      <c r="E5" s="284"/>
      <c r="F5" s="284"/>
      <c r="G5" s="269"/>
      <c r="H5" s="269"/>
      <c r="I5" s="284"/>
      <c r="J5" s="269"/>
      <c r="K5" s="283"/>
      <c r="L5" s="393"/>
      <c r="M5" s="399"/>
      <c r="N5" s="473"/>
      <c r="O5" s="50"/>
      <c r="P5" s="50"/>
      <c r="Q5" s="50"/>
    </row>
    <row r="6" spans="1:17" ht="15.75" thickBot="1" x14ac:dyDescent="0.3">
      <c r="A6" s="269"/>
      <c r="B6" s="269"/>
      <c r="C6" s="269"/>
      <c r="D6" s="269"/>
      <c r="E6" s="269"/>
      <c r="F6" s="269"/>
      <c r="G6" s="269"/>
      <c r="H6" s="269"/>
      <c r="I6" s="269"/>
      <c r="J6" s="269"/>
      <c r="K6" s="283"/>
      <c r="L6" s="458"/>
      <c r="M6" s="511"/>
      <c r="N6" s="473"/>
      <c r="O6" s="50"/>
      <c r="P6" s="50"/>
      <c r="Q6" s="50"/>
    </row>
    <row r="7" spans="1:17" s="1" customFormat="1" ht="16.5" thickBot="1" x14ac:dyDescent="0.3">
      <c r="A7" s="286"/>
      <c r="B7" s="495"/>
      <c r="C7" s="499" t="s">
        <v>191</v>
      </c>
      <c r="D7" s="497" t="s">
        <v>190</v>
      </c>
      <c r="E7" s="262" t="s">
        <v>189</v>
      </c>
      <c r="F7" s="263" t="s">
        <v>50</v>
      </c>
      <c r="G7" s="487" t="s">
        <v>32</v>
      </c>
      <c r="H7" s="264" t="s">
        <v>206</v>
      </c>
      <c r="I7" s="489" t="s">
        <v>204</v>
      </c>
      <c r="J7" s="273" t="s">
        <v>205</v>
      </c>
      <c r="K7" s="276" t="s">
        <v>150</v>
      </c>
      <c r="L7" s="388" t="s">
        <v>184</v>
      </c>
      <c r="M7" s="513" t="s">
        <v>203</v>
      </c>
      <c r="N7" s="490"/>
      <c r="O7" s="50"/>
      <c r="P7" s="50"/>
      <c r="Q7" s="50"/>
    </row>
    <row r="8" spans="1:17" ht="15.75" x14ac:dyDescent="0.25">
      <c r="A8" s="292"/>
      <c r="B8" s="496"/>
      <c r="C8" s="473"/>
      <c r="D8" s="498"/>
      <c r="E8" s="286"/>
      <c r="F8" s="365"/>
      <c r="G8" s="488">
        <v>99773.25</v>
      </c>
      <c r="H8" s="501">
        <v>46193</v>
      </c>
      <c r="I8" s="490"/>
      <c r="J8" s="286"/>
      <c r="K8" s="286"/>
      <c r="L8" s="446"/>
      <c r="M8" s="512"/>
      <c r="N8" s="473"/>
      <c r="O8" s="50"/>
      <c r="P8" s="50"/>
      <c r="Q8" s="50"/>
    </row>
    <row r="9" spans="1:17" ht="18.75" x14ac:dyDescent="0.3">
      <c r="A9" s="286"/>
      <c r="B9" s="493">
        <v>1</v>
      </c>
      <c r="C9" s="494"/>
      <c r="D9" s="374"/>
      <c r="E9" s="287"/>
      <c r="F9" s="463"/>
      <c r="G9" s="520">
        <v>66924</v>
      </c>
      <c r="H9" s="501">
        <v>46210</v>
      </c>
      <c r="I9" s="490"/>
      <c r="J9" s="521"/>
      <c r="K9" s="287"/>
      <c r="L9" s="446"/>
      <c r="M9" s="480"/>
      <c r="N9" s="473"/>
      <c r="O9" s="50"/>
      <c r="P9" s="50"/>
      <c r="Q9" s="50"/>
    </row>
    <row r="10" spans="1:17" ht="19.5" thickBot="1" x14ac:dyDescent="0.35">
      <c r="A10" s="286"/>
      <c r="B10" s="493">
        <v>2</v>
      </c>
      <c r="C10" s="436"/>
      <c r="D10" s="372">
        <v>623788.28</v>
      </c>
      <c r="E10" s="288"/>
      <c r="F10" s="464"/>
      <c r="G10" s="500">
        <v>235158.78</v>
      </c>
      <c r="H10" s="501">
        <v>46193</v>
      </c>
      <c r="I10" s="490"/>
      <c r="J10" s="287">
        <v>121269.37</v>
      </c>
      <c r="K10" s="473"/>
      <c r="L10" s="522">
        <v>69853</v>
      </c>
      <c r="M10" s="473"/>
      <c r="N10" s="473"/>
      <c r="O10" s="50"/>
      <c r="P10" s="50"/>
      <c r="Q10" s="50"/>
    </row>
    <row r="11" spans="1:17" ht="19.5" thickBot="1" x14ac:dyDescent="0.35">
      <c r="A11" s="286"/>
      <c r="B11" s="389">
        <v>3</v>
      </c>
      <c r="C11" s="492"/>
      <c r="D11" s="373"/>
      <c r="E11" s="465">
        <v>500</v>
      </c>
      <c r="F11" s="486">
        <v>83000</v>
      </c>
      <c r="G11" s="515">
        <f>SUM(G8:G10)</f>
        <v>401856.03</v>
      </c>
      <c r="H11" s="372"/>
      <c r="I11" s="490"/>
      <c r="J11" s="380">
        <v>25178</v>
      </c>
      <c r="K11" s="287">
        <v>52966</v>
      </c>
      <c r="L11" s="466">
        <v>13840</v>
      </c>
      <c r="M11" s="150">
        <v>122867</v>
      </c>
      <c r="N11" s="473"/>
      <c r="O11" s="50"/>
      <c r="P11" s="50"/>
      <c r="Q11" s="50"/>
    </row>
    <row r="12" spans="1:17" ht="18.75" x14ac:dyDescent="0.3">
      <c r="A12" s="271"/>
      <c r="B12" s="390">
        <v>4</v>
      </c>
      <c r="C12" s="284"/>
      <c r="D12" s="377"/>
      <c r="E12" s="287"/>
      <c r="F12" s="275"/>
      <c r="G12" s="516"/>
      <c r="H12" s="473"/>
      <c r="I12" s="491"/>
      <c r="J12" s="473"/>
      <c r="K12" s="473"/>
      <c r="L12" s="523"/>
      <c r="M12" s="507"/>
      <c r="N12" s="395"/>
      <c r="O12" s="50"/>
      <c r="P12" s="50"/>
      <c r="Q12" s="50"/>
    </row>
    <row r="13" spans="1:17" s="1" customFormat="1" ht="18.75" x14ac:dyDescent="0.3">
      <c r="A13" s="268"/>
      <c r="B13" s="391">
        <v>5</v>
      </c>
      <c r="C13" s="394"/>
      <c r="D13" s="386"/>
      <c r="E13" s="275"/>
      <c r="F13" s="380"/>
      <c r="G13" s="517"/>
      <c r="H13" s="399"/>
      <c r="I13" s="475"/>
      <c r="J13" s="401"/>
      <c r="K13" s="399"/>
      <c r="L13" s="455"/>
      <c r="M13" s="283"/>
      <c r="N13" s="476">
        <v>328599</v>
      </c>
      <c r="O13" s="50"/>
      <c r="P13" s="50"/>
      <c r="Q13" s="50"/>
    </row>
    <row r="14" spans="1:17" s="1" customFormat="1" ht="15.75" thickBot="1" x14ac:dyDescent="0.3">
      <c r="A14" s="268"/>
      <c r="B14" s="300"/>
      <c r="C14" s="387"/>
      <c r="D14" s="392"/>
      <c r="E14" s="403"/>
      <c r="F14" s="404"/>
      <c r="G14" s="518"/>
      <c r="H14" s="473"/>
      <c r="I14" s="502"/>
      <c r="J14" s="476"/>
      <c r="K14" s="478"/>
      <c r="L14" s="456"/>
      <c r="M14" s="508"/>
      <c r="N14" s="473">
        <v>2952000</v>
      </c>
      <c r="O14" s="50"/>
      <c r="P14" s="50"/>
      <c r="Q14" s="50"/>
    </row>
    <row r="15" spans="1:17" x14ac:dyDescent="0.25">
      <c r="A15" s="268"/>
      <c r="B15" s="300"/>
      <c r="C15" s="375"/>
      <c r="D15" s="320"/>
      <c r="E15" s="406"/>
      <c r="F15" s="407"/>
      <c r="G15" s="519"/>
      <c r="H15" s="477"/>
      <c r="I15" s="401"/>
      <c r="J15" s="473"/>
      <c r="K15" s="479"/>
      <c r="L15" s="456"/>
      <c r="M15" s="509"/>
      <c r="N15" s="473">
        <v>807021</v>
      </c>
      <c r="O15" s="50"/>
      <c r="P15" s="50"/>
      <c r="Q15" s="50"/>
    </row>
    <row r="16" spans="1:17" x14ac:dyDescent="0.25">
      <c r="A16" s="269"/>
      <c r="B16" s="283"/>
      <c r="C16" s="376"/>
      <c r="D16" s="320"/>
      <c r="E16" s="408"/>
      <c r="F16" s="409"/>
      <c r="G16" s="514"/>
      <c r="H16" s="473"/>
      <c r="I16" s="503"/>
      <c r="J16" s="473"/>
      <c r="K16" s="480"/>
      <c r="L16" s="456"/>
      <c r="M16" s="283"/>
      <c r="N16" s="395">
        <f>SUM(N13:N15)</f>
        <v>4087620</v>
      </c>
      <c r="O16" s="50"/>
      <c r="P16" s="50"/>
      <c r="Q16" s="50"/>
    </row>
    <row r="17" spans="1:17" x14ac:dyDescent="0.25">
      <c r="A17" s="269"/>
      <c r="B17" s="283"/>
      <c r="C17" s="269"/>
      <c r="D17" s="320"/>
      <c r="E17" s="410"/>
      <c r="F17" s="409"/>
      <c r="G17" s="472"/>
      <c r="H17" s="474"/>
      <c r="I17" s="504"/>
      <c r="J17" s="474"/>
      <c r="K17" s="478"/>
      <c r="L17" s="456"/>
      <c r="M17" s="459"/>
      <c r="N17" s="269"/>
      <c r="O17" s="50"/>
      <c r="P17" s="50"/>
      <c r="Q17" s="50"/>
    </row>
    <row r="18" spans="1:17" x14ac:dyDescent="0.25">
      <c r="A18" s="365"/>
      <c r="B18" s="367"/>
      <c r="C18" s="366"/>
      <c r="D18" s="323"/>
      <c r="E18" s="412"/>
      <c r="F18" s="413"/>
      <c r="G18" s="411"/>
      <c r="H18" s="400"/>
      <c r="I18" s="485"/>
      <c r="J18" s="474"/>
      <c r="K18" s="481"/>
      <c r="L18" s="456"/>
      <c r="M18" s="459"/>
      <c r="N18" s="269">
        <v>66924</v>
      </c>
      <c r="O18" s="50"/>
      <c r="P18" s="50"/>
      <c r="Q18" s="50"/>
    </row>
    <row r="19" spans="1:17" ht="15.75" thickBot="1" x14ac:dyDescent="0.3">
      <c r="A19" s="299"/>
      <c r="B19" s="300"/>
      <c r="C19" s="353"/>
      <c r="D19" s="402"/>
      <c r="E19" s="414"/>
      <c r="F19" s="415"/>
      <c r="G19" s="416"/>
      <c r="H19" s="482"/>
      <c r="I19" s="505"/>
      <c r="J19" s="483"/>
      <c r="K19" s="484"/>
      <c r="L19" s="456"/>
      <c r="M19" s="459"/>
      <c r="N19" s="269">
        <v>234393</v>
      </c>
      <c r="O19" s="50"/>
      <c r="P19" s="50"/>
      <c r="Q19" s="50"/>
    </row>
    <row r="20" spans="1:17" x14ac:dyDescent="0.25">
      <c r="A20" s="298"/>
      <c r="B20" s="300"/>
      <c r="C20" s="343"/>
      <c r="D20" s="355"/>
      <c r="E20" s="405"/>
      <c r="F20" s="355"/>
      <c r="G20" s="330"/>
      <c r="H20" s="485"/>
      <c r="I20" s="485"/>
      <c r="J20" s="474"/>
      <c r="K20" s="484"/>
      <c r="L20" s="456"/>
      <c r="M20" s="283"/>
      <c r="N20" s="269">
        <f>SUM(N18:N19)</f>
        <v>301317</v>
      </c>
      <c r="O20" s="50"/>
      <c r="P20" s="50"/>
      <c r="Q20" s="50"/>
    </row>
    <row r="21" spans="1:17" ht="15.75" thickBot="1" x14ac:dyDescent="0.3">
      <c r="A21" s="299"/>
      <c r="B21" s="295"/>
      <c r="C21" s="364" t="s">
        <v>8</v>
      </c>
      <c r="D21" s="385" t="s">
        <v>54</v>
      </c>
      <c r="E21" s="270" t="s">
        <v>192</v>
      </c>
      <c r="F21" s="274" t="s">
        <v>177</v>
      </c>
      <c r="G21" s="264" t="s">
        <v>58</v>
      </c>
      <c r="H21" s="346" t="s">
        <v>80</v>
      </c>
      <c r="I21" s="267" t="s">
        <v>55</v>
      </c>
      <c r="J21" s="290" t="s">
        <v>171</v>
      </c>
      <c r="K21" s="460"/>
      <c r="L21" s="457"/>
      <c r="M21" s="445"/>
      <c r="N21" s="510"/>
    </row>
    <row r="22" spans="1:17" ht="15.75" thickBot="1" x14ac:dyDescent="0.3">
      <c r="A22" s="286"/>
      <c r="B22" s="301"/>
      <c r="C22" s="302"/>
      <c r="D22" s="375">
        <v>15000</v>
      </c>
      <c r="E22" s="280"/>
      <c r="F22" s="280"/>
      <c r="G22" s="362"/>
      <c r="H22" s="362">
        <v>59159</v>
      </c>
      <c r="I22" s="280"/>
      <c r="J22" s="280"/>
      <c r="K22" s="461"/>
      <c r="L22" s="457"/>
      <c r="M22" s="462"/>
      <c r="N22" s="442"/>
    </row>
    <row r="23" spans="1:17" x14ac:dyDescent="0.25">
      <c r="A23" s="296"/>
      <c r="B23" s="301"/>
      <c r="C23" s="302"/>
      <c r="D23" s="370"/>
      <c r="E23" s="282"/>
      <c r="F23" s="280"/>
      <c r="G23" s="280"/>
      <c r="H23" s="280"/>
      <c r="I23" s="280"/>
      <c r="J23" s="418"/>
      <c r="K23" s="369"/>
      <c r="L23" s="457"/>
      <c r="M23" s="443"/>
      <c r="N23" s="442"/>
    </row>
    <row r="24" spans="1:17" x14ac:dyDescent="0.25">
      <c r="A24" s="296"/>
      <c r="B24" s="301"/>
      <c r="C24" s="302"/>
      <c r="D24" s="302"/>
      <c r="E24" s="347"/>
      <c r="F24" s="269"/>
      <c r="G24" s="269"/>
      <c r="H24" s="269"/>
      <c r="I24" s="269"/>
      <c r="J24" s="269"/>
      <c r="K24" s="285"/>
      <c r="L24" s="401"/>
      <c r="M24" s="442"/>
      <c r="N24" s="442"/>
    </row>
    <row r="25" spans="1:17" x14ac:dyDescent="0.25">
      <c r="A25" s="296"/>
      <c r="B25" s="303"/>
      <c r="C25" s="302"/>
      <c r="D25" s="302"/>
      <c r="E25" s="347"/>
      <c r="F25" s="269"/>
      <c r="G25" s="269"/>
      <c r="H25" s="269"/>
      <c r="I25" s="269"/>
      <c r="J25" s="269"/>
      <c r="K25" s="398"/>
      <c r="L25" s="365"/>
      <c r="M25" s="442"/>
      <c r="N25" s="269"/>
    </row>
    <row r="26" spans="1:17" x14ac:dyDescent="0.25">
      <c r="A26" s="296"/>
      <c r="B26" s="303"/>
      <c r="C26" s="302"/>
      <c r="D26" s="302"/>
      <c r="E26" s="347"/>
      <c r="F26" s="269"/>
      <c r="G26" s="269"/>
      <c r="H26" s="269"/>
      <c r="I26" s="269"/>
      <c r="J26" s="269"/>
      <c r="K26" s="398"/>
      <c r="L26" s="470"/>
      <c r="M26" s="442"/>
      <c r="N26" s="269"/>
    </row>
    <row r="27" spans="1:17" x14ac:dyDescent="0.25">
      <c r="A27" s="360"/>
      <c r="B27" s="361"/>
      <c r="C27" s="302"/>
      <c r="D27" s="280"/>
      <c r="E27" s="275"/>
      <c r="F27" s="269"/>
      <c r="G27" s="269"/>
      <c r="H27" s="269"/>
      <c r="I27" s="269"/>
      <c r="J27" s="269"/>
      <c r="K27" s="469"/>
      <c r="L27" s="365"/>
      <c r="M27" s="442"/>
      <c r="N27" s="269"/>
    </row>
    <row r="28" spans="1:17" x14ac:dyDescent="0.25">
      <c r="A28" s="275"/>
      <c r="B28" s="271"/>
      <c r="C28" s="381"/>
      <c r="D28" s="342"/>
      <c r="E28" s="437"/>
      <c r="F28" s="269"/>
      <c r="G28" s="269"/>
      <c r="H28" s="269"/>
      <c r="I28" s="269"/>
      <c r="J28" s="269"/>
      <c r="K28" s="397"/>
      <c r="L28" s="471"/>
      <c r="N28" s="269"/>
    </row>
    <row r="29" spans="1:17" x14ac:dyDescent="0.25">
      <c r="A29" s="382"/>
      <c r="B29" s="269"/>
      <c r="C29" s="383"/>
      <c r="D29" s="384"/>
      <c r="E29" s="438"/>
      <c r="F29" s="269"/>
      <c r="G29" s="269"/>
      <c r="H29" s="269"/>
      <c r="I29" s="269"/>
      <c r="J29" s="269"/>
      <c r="K29" s="467"/>
      <c r="L29" s="468"/>
      <c r="M29" s="442"/>
      <c r="N29" s="269"/>
    </row>
    <row r="30" spans="1:17" x14ac:dyDescent="0.25">
      <c r="A30" s="269"/>
      <c r="B30" s="269"/>
      <c r="C30" s="269"/>
      <c r="D30" s="269"/>
      <c r="E30" s="283"/>
      <c r="F30" s="269"/>
      <c r="G30" s="269"/>
      <c r="H30" s="269"/>
      <c r="I30" s="269"/>
      <c r="J30" s="269"/>
      <c r="K30" s="396"/>
      <c r="L30" s="269"/>
      <c r="M30" s="442"/>
      <c r="N30" s="269"/>
    </row>
    <row r="31" spans="1:17" x14ac:dyDescent="0.25">
      <c r="A31" s="269"/>
      <c r="B31" s="269"/>
      <c r="C31" s="269"/>
      <c r="D31" s="280"/>
      <c r="E31" s="347" t="s">
        <v>195</v>
      </c>
      <c r="F31" s="384"/>
      <c r="G31" s="384"/>
      <c r="H31" s="417"/>
      <c r="I31" s="269"/>
      <c r="J31" s="269"/>
      <c r="K31" s="396"/>
      <c r="L31" s="269"/>
      <c r="M31" s="248"/>
      <c r="N31" s="51"/>
    </row>
    <row r="32" spans="1:17" x14ac:dyDescent="0.25">
      <c r="A32" s="269"/>
      <c r="B32" s="269"/>
      <c r="C32" s="269"/>
      <c r="D32" s="280"/>
      <c r="E32" s="347"/>
      <c r="F32" s="384"/>
      <c r="G32" s="417"/>
      <c r="H32" s="417"/>
      <c r="I32" s="269"/>
      <c r="J32" s="269"/>
      <c r="K32" s="269"/>
      <c r="L32" s="269"/>
      <c r="M32" s="248"/>
      <c r="N32" s="51"/>
    </row>
    <row r="33" spans="1:14" x14ac:dyDescent="0.25">
      <c r="A33" s="269"/>
      <c r="B33" s="269"/>
      <c r="C33" s="269"/>
      <c r="D33" s="427"/>
      <c r="E33" s="428" t="s">
        <v>196</v>
      </c>
      <c r="F33" s="417" t="s">
        <v>197</v>
      </c>
      <c r="G33" s="417" t="s">
        <v>198</v>
      </c>
      <c r="H33" s="417" t="s">
        <v>199</v>
      </c>
      <c r="I33" s="269"/>
      <c r="J33" s="269"/>
      <c r="K33" s="269"/>
      <c r="L33" s="269"/>
      <c r="M33" s="248"/>
      <c r="N33" s="51"/>
    </row>
    <row r="34" spans="1:14" x14ac:dyDescent="0.25">
      <c r="A34" s="269"/>
      <c r="B34" s="269"/>
      <c r="C34" s="269"/>
      <c r="D34" s="418" t="s">
        <v>200</v>
      </c>
      <c r="E34" s="421">
        <v>466976.92</v>
      </c>
      <c r="F34" s="439">
        <v>99774</v>
      </c>
      <c r="G34" s="417">
        <v>5</v>
      </c>
      <c r="H34" s="440">
        <v>20</v>
      </c>
      <c r="I34" s="277"/>
      <c r="J34" s="277"/>
      <c r="K34" s="269"/>
      <c r="L34" s="269"/>
      <c r="M34" s="248"/>
      <c r="N34" s="51"/>
    </row>
    <row r="35" spans="1:14" x14ac:dyDescent="0.25">
      <c r="A35" s="269"/>
      <c r="B35" s="269"/>
      <c r="C35" s="269"/>
      <c r="D35" s="418" t="s">
        <v>200</v>
      </c>
      <c r="E35" s="425">
        <v>815680.37</v>
      </c>
      <c r="F35" s="422">
        <v>66925</v>
      </c>
      <c r="G35" s="419">
        <v>31</v>
      </c>
      <c r="H35" s="419">
        <v>7</v>
      </c>
      <c r="I35" s="277"/>
      <c r="J35" s="269"/>
      <c r="K35" s="269"/>
      <c r="L35" s="269"/>
      <c r="M35" s="248"/>
      <c r="N35" s="51"/>
    </row>
    <row r="36" spans="1:14" x14ac:dyDescent="0.25">
      <c r="A36" s="269"/>
      <c r="B36" s="269"/>
      <c r="C36" s="269"/>
      <c r="D36" s="418" t="s">
        <v>200</v>
      </c>
      <c r="E36" s="426">
        <v>3073505.09</v>
      </c>
      <c r="F36" s="426">
        <v>235159</v>
      </c>
      <c r="G36" s="417">
        <v>25</v>
      </c>
      <c r="H36" s="417">
        <v>20</v>
      </c>
      <c r="I36" s="277"/>
      <c r="J36" s="269"/>
      <c r="K36" s="269"/>
      <c r="L36" s="269"/>
      <c r="M36" s="248"/>
      <c r="N36" s="51"/>
    </row>
    <row r="37" spans="1:14" x14ac:dyDescent="0.25">
      <c r="A37" s="269"/>
      <c r="B37" s="269"/>
      <c r="C37" s="269"/>
      <c r="D37" s="286" t="s">
        <v>201</v>
      </c>
      <c r="E37" s="423">
        <v>698529.91</v>
      </c>
      <c r="F37" s="423">
        <v>69852.990000000005</v>
      </c>
      <c r="G37" s="277">
        <v>9</v>
      </c>
      <c r="H37" s="277">
        <v>15</v>
      </c>
      <c r="I37" s="277"/>
      <c r="J37" s="277"/>
      <c r="K37" s="269"/>
      <c r="L37" s="269"/>
      <c r="M37" s="248"/>
      <c r="N37" s="51"/>
    </row>
    <row r="38" spans="1:14" x14ac:dyDescent="0.25">
      <c r="A38" s="268"/>
      <c r="B38" s="296"/>
      <c r="C38" s="302"/>
      <c r="D38" s="286" t="s">
        <v>201</v>
      </c>
      <c r="E38" s="423">
        <v>98848.21</v>
      </c>
      <c r="F38" s="275">
        <v>13840</v>
      </c>
      <c r="G38" s="277">
        <v>7</v>
      </c>
      <c r="H38" s="277">
        <v>15</v>
      </c>
      <c r="I38" s="420"/>
      <c r="J38" s="418"/>
      <c r="K38" s="347"/>
      <c r="L38" s="453"/>
      <c r="M38" s="248"/>
      <c r="N38" s="51"/>
    </row>
    <row r="39" spans="1:14" ht="15.75" thickBot="1" x14ac:dyDescent="0.3">
      <c r="A39" s="298"/>
      <c r="B39" s="296"/>
      <c r="C39" s="305"/>
      <c r="D39" s="429" t="s">
        <v>202</v>
      </c>
      <c r="E39" s="435">
        <v>746515</v>
      </c>
      <c r="F39" s="432">
        <v>122867</v>
      </c>
      <c r="G39" s="277">
        <v>11</v>
      </c>
      <c r="H39" s="430">
        <v>5</v>
      </c>
      <c r="I39" s="304"/>
      <c r="J39" s="280"/>
      <c r="K39" s="347"/>
      <c r="L39" s="453"/>
      <c r="M39" s="248"/>
      <c r="N39" s="51"/>
    </row>
    <row r="40" spans="1:14" ht="15.75" thickBot="1" x14ac:dyDescent="0.3">
      <c r="A40" s="298"/>
      <c r="B40" s="296"/>
      <c r="C40" s="302"/>
      <c r="D40" s="434"/>
      <c r="E40" s="433">
        <f>SUM(E34:E39)</f>
        <v>5900055.5</v>
      </c>
      <c r="F40" s="433">
        <f>SUM(F34:F39)</f>
        <v>608417.99</v>
      </c>
      <c r="G40" s="431"/>
      <c r="H40" s="277"/>
      <c r="I40" s="304"/>
      <c r="J40" s="280"/>
      <c r="K40" s="347"/>
      <c r="L40" s="453"/>
      <c r="M40" s="248"/>
      <c r="N40" s="51"/>
    </row>
    <row r="41" spans="1:14" x14ac:dyDescent="0.25">
      <c r="A41" s="306"/>
      <c r="B41" s="296"/>
      <c r="C41" s="302"/>
      <c r="D41" s="304"/>
      <c r="E41" s="280"/>
      <c r="F41" s="428"/>
      <c r="G41" s="421"/>
      <c r="H41" s="280"/>
      <c r="I41" s="304"/>
      <c r="J41" s="280"/>
      <c r="K41" s="347"/>
      <c r="L41" s="453"/>
      <c r="M41" s="248"/>
      <c r="N41" s="51"/>
    </row>
    <row r="42" spans="1:14" x14ac:dyDescent="0.25">
      <c r="A42" s="298">
        <v>387</v>
      </c>
      <c r="B42" s="296"/>
      <c r="C42" s="302"/>
      <c r="D42" s="304"/>
      <c r="E42" s="280"/>
      <c r="F42" s="418"/>
      <c r="G42" s="421"/>
      <c r="H42" s="280"/>
      <c r="I42" s="280"/>
      <c r="J42" s="280"/>
      <c r="K42" s="347"/>
      <c r="L42" s="453"/>
      <c r="M42" s="248"/>
      <c r="N42" s="51"/>
    </row>
    <row r="43" spans="1:14" ht="15.75" thickBot="1" x14ac:dyDescent="0.3">
      <c r="A43" s="298"/>
      <c r="B43" s="296"/>
      <c r="C43" s="302"/>
      <c r="D43" s="304"/>
      <c r="E43" s="280"/>
      <c r="F43" s="418"/>
      <c r="G43" s="422"/>
      <c r="H43" s="280"/>
      <c r="I43" s="280"/>
      <c r="J43" s="268"/>
      <c r="K43" s="347"/>
      <c r="L43" s="453"/>
      <c r="M43" s="248"/>
      <c r="N43" s="51"/>
    </row>
    <row r="44" spans="1:14" ht="15.75" thickBot="1" x14ac:dyDescent="0.3">
      <c r="A44" s="298"/>
      <c r="B44" s="296"/>
      <c r="C44" s="302"/>
      <c r="D44" s="307"/>
      <c r="E44" s="342"/>
      <c r="F44" s="419"/>
      <c r="G44" s="424" t="s">
        <v>24</v>
      </c>
      <c r="H44" s="307"/>
      <c r="I44" s="307"/>
      <c r="J44" s="280"/>
      <c r="K44" s="347"/>
      <c r="L44" s="453"/>
      <c r="M44" s="248"/>
      <c r="N44" s="51"/>
    </row>
    <row r="45" spans="1:14" ht="19.5" thickBot="1" x14ac:dyDescent="0.35">
      <c r="A45" s="298"/>
      <c r="B45" s="308" t="s">
        <v>188</v>
      </c>
      <c r="C45" s="309"/>
      <c r="D45" s="331"/>
      <c r="E45" s="280"/>
      <c r="F45" s="339" t="s">
        <v>183</v>
      </c>
      <c r="G45" s="314" t="s">
        <v>176</v>
      </c>
      <c r="H45" s="310" t="s">
        <v>20</v>
      </c>
      <c r="I45" s="311" t="s">
        <v>21</v>
      </c>
      <c r="J45" s="304"/>
      <c r="K45" s="347"/>
      <c r="L45" s="453"/>
      <c r="M45" s="248"/>
      <c r="N45" s="51"/>
    </row>
    <row r="46" spans="1:14" ht="19.5" thickBot="1" x14ac:dyDescent="0.35">
      <c r="A46" s="302"/>
      <c r="B46" s="312"/>
      <c r="C46" s="313"/>
      <c r="D46" s="271"/>
      <c r="E46" s="280"/>
      <c r="F46" s="340"/>
      <c r="G46" s="318"/>
      <c r="H46" s="315" t="s">
        <v>176</v>
      </c>
      <c r="I46" s="316" t="s">
        <v>176</v>
      </c>
      <c r="J46" s="304"/>
      <c r="K46" s="347"/>
      <c r="L46" s="453"/>
      <c r="M46" s="248"/>
      <c r="N46" s="51"/>
    </row>
    <row r="47" spans="1:14" x14ac:dyDescent="0.25">
      <c r="A47" s="302"/>
      <c r="B47" s="317" t="s">
        <v>172</v>
      </c>
      <c r="C47" s="271"/>
      <c r="D47" s="268"/>
      <c r="E47" s="280"/>
      <c r="F47" s="341" t="s">
        <v>194</v>
      </c>
      <c r="G47" s="321"/>
      <c r="H47" s="319"/>
      <c r="I47" s="279"/>
      <c r="J47" s="280"/>
      <c r="K47" s="347"/>
      <c r="L47" s="453"/>
      <c r="M47" s="248"/>
      <c r="N47" s="51"/>
    </row>
    <row r="48" spans="1:14" x14ac:dyDescent="0.25">
      <c r="A48" s="303"/>
      <c r="B48" s="317" t="s">
        <v>17</v>
      </c>
      <c r="C48" s="352"/>
      <c r="D48" s="268"/>
      <c r="E48" s="296"/>
      <c r="F48" s="335" t="s">
        <v>186</v>
      </c>
      <c r="G48" s="321"/>
      <c r="H48" s="322"/>
      <c r="I48" s="296"/>
      <c r="J48" s="296"/>
      <c r="K48" s="323"/>
      <c r="L48" s="453"/>
      <c r="M48" s="281"/>
      <c r="N48" s="51"/>
    </row>
    <row r="49" spans="1:14" x14ac:dyDescent="0.25">
      <c r="A49" s="303"/>
      <c r="B49" s="317" t="s">
        <v>173</v>
      </c>
      <c r="C49" s="352"/>
      <c r="D49" s="268"/>
      <c r="E49" s="296"/>
      <c r="F49" s="335" t="s">
        <v>187</v>
      </c>
      <c r="G49" s="321"/>
      <c r="H49" s="322"/>
      <c r="I49" s="296"/>
      <c r="J49" s="296"/>
      <c r="K49" s="350"/>
      <c r="L49" s="453"/>
      <c r="M49" s="281"/>
      <c r="N49" s="51"/>
    </row>
    <row r="50" spans="1:14" x14ac:dyDescent="0.25">
      <c r="A50" s="303"/>
      <c r="B50" s="317" t="s">
        <v>174</v>
      </c>
      <c r="C50" s="352"/>
      <c r="D50" s="268"/>
      <c r="E50" s="296"/>
      <c r="F50" s="335" t="s">
        <v>177</v>
      </c>
      <c r="G50" s="321"/>
      <c r="H50" s="322"/>
      <c r="I50" s="296"/>
      <c r="J50" s="296"/>
      <c r="K50" s="350"/>
      <c r="L50" s="453"/>
      <c r="M50" s="281"/>
      <c r="N50" s="51"/>
    </row>
    <row r="51" spans="1:14" ht="16.5" thickBot="1" x14ac:dyDescent="0.3">
      <c r="A51" s="303"/>
      <c r="B51" s="338" t="s">
        <v>175</v>
      </c>
      <c r="C51" s="354"/>
      <c r="D51" s="298"/>
      <c r="E51" s="296"/>
      <c r="F51" s="335" t="s">
        <v>179</v>
      </c>
      <c r="G51" s="325"/>
      <c r="H51" s="322"/>
      <c r="I51" s="296"/>
      <c r="J51" s="296"/>
      <c r="K51" s="350"/>
      <c r="L51" s="453"/>
      <c r="M51" s="281"/>
      <c r="N51" s="51"/>
    </row>
    <row r="52" spans="1:14" ht="16.5" thickBot="1" x14ac:dyDescent="0.3">
      <c r="A52" s="332"/>
      <c r="B52" s="324" t="s">
        <v>71</v>
      </c>
      <c r="C52" s="358"/>
      <c r="D52" s="356"/>
      <c r="E52" s="296"/>
      <c r="F52" s="335" t="s">
        <v>180</v>
      </c>
      <c r="G52" s="327"/>
      <c r="H52" s="326"/>
      <c r="I52" s="296"/>
      <c r="J52" s="296"/>
      <c r="K52" s="332"/>
      <c r="L52" s="453"/>
      <c r="M52" s="281"/>
      <c r="N52" s="51"/>
    </row>
    <row r="53" spans="1:14" ht="19.5" thickBot="1" x14ac:dyDescent="0.35">
      <c r="A53" s="332"/>
      <c r="B53" s="313"/>
      <c r="C53" s="357"/>
      <c r="D53" s="296"/>
      <c r="E53" s="296"/>
      <c r="F53" s="336" t="s">
        <v>178</v>
      </c>
      <c r="G53" s="313"/>
      <c r="H53" s="328"/>
      <c r="I53" s="297"/>
      <c r="J53" s="296"/>
      <c r="K53" s="350"/>
      <c r="L53" s="453"/>
      <c r="M53" s="281"/>
      <c r="N53" s="51"/>
    </row>
    <row r="54" spans="1:14" ht="15.75" thickBot="1" x14ac:dyDescent="0.3">
      <c r="A54" s="333"/>
      <c r="B54" s="296"/>
      <c r="C54" s="296"/>
      <c r="D54" s="296"/>
      <c r="E54" s="296"/>
      <c r="F54" s="297"/>
      <c r="G54" s="329" t="s">
        <v>176</v>
      </c>
      <c r="H54" s="313"/>
      <c r="I54" s="296"/>
      <c r="J54" s="296"/>
      <c r="K54" s="351"/>
      <c r="L54" s="453"/>
      <c r="M54" s="281"/>
      <c r="N54" s="51"/>
    </row>
    <row r="55" spans="1:14" x14ac:dyDescent="0.25">
      <c r="A55" s="334"/>
      <c r="B55" s="296"/>
      <c r="C55" s="296"/>
      <c r="D55" s="296"/>
      <c r="E55" s="296"/>
      <c r="F55" s="337"/>
      <c r="G55" s="296"/>
      <c r="H55" s="329" t="s">
        <v>176</v>
      </c>
      <c r="I55" s="268"/>
      <c r="J55" s="296"/>
      <c r="K55" s="349"/>
      <c r="L55" s="453"/>
      <c r="M55" s="281"/>
      <c r="N55" s="51"/>
    </row>
    <row r="56" spans="1:14" ht="15.75" thickBot="1" x14ac:dyDescent="0.3">
      <c r="A56" s="334"/>
      <c r="B56" s="296"/>
      <c r="C56" s="296"/>
      <c r="D56" s="296"/>
      <c r="E56" s="296"/>
      <c r="F56" s="297"/>
      <c r="G56" s="269"/>
      <c r="H56" s="296"/>
      <c r="I56" s="268"/>
      <c r="J56" s="296"/>
      <c r="K56" s="323"/>
      <c r="L56" s="454"/>
      <c r="M56" s="281"/>
      <c r="N56" s="51"/>
    </row>
    <row r="57" spans="1:14" x14ac:dyDescent="0.25">
      <c r="A57" s="441"/>
      <c r="B57" s="269"/>
      <c r="C57" s="269"/>
      <c r="D57" s="269"/>
      <c r="E57" s="269"/>
      <c r="F57" s="442"/>
      <c r="G57" s="277"/>
      <c r="H57" s="269"/>
      <c r="I57" s="198"/>
      <c r="J57" s="269"/>
      <c r="K57" s="269"/>
      <c r="L57" s="443"/>
      <c r="M57" s="87"/>
      <c r="N57" s="51"/>
    </row>
    <row r="58" spans="1:14" x14ac:dyDescent="0.25">
      <c r="A58" s="441"/>
      <c r="B58" s="269"/>
      <c r="C58" s="269"/>
      <c r="D58" s="269"/>
      <c r="E58" s="277"/>
      <c r="F58" s="444"/>
      <c r="G58" s="277"/>
      <c r="H58" s="277"/>
      <c r="I58" s="198"/>
      <c r="J58" s="269"/>
      <c r="K58" s="269"/>
      <c r="L58" s="269"/>
      <c r="M58" s="87"/>
      <c r="N58" s="51"/>
    </row>
    <row r="59" spans="1:14" x14ac:dyDescent="0.25">
      <c r="A59" s="441"/>
      <c r="B59" s="269"/>
      <c r="C59" s="269"/>
      <c r="D59" s="269"/>
      <c r="E59" s="277"/>
      <c r="F59" s="277"/>
      <c r="G59" s="277"/>
      <c r="H59" s="277"/>
      <c r="I59" s="286"/>
      <c r="J59" s="269"/>
      <c r="K59" s="269"/>
      <c r="L59" s="269"/>
      <c r="M59" s="87"/>
      <c r="N59" s="51"/>
    </row>
    <row r="60" spans="1:14" x14ac:dyDescent="0.25">
      <c r="A60" s="441"/>
      <c r="B60" s="269"/>
      <c r="C60" s="269"/>
      <c r="D60" s="269"/>
      <c r="E60" s="277"/>
      <c r="F60" s="277"/>
      <c r="G60" s="277"/>
      <c r="H60" s="277"/>
      <c r="I60" s="289"/>
      <c r="J60" s="269"/>
      <c r="K60" s="269"/>
      <c r="L60" s="269"/>
      <c r="M60" s="87"/>
      <c r="N60" s="51"/>
    </row>
    <row r="61" spans="1:14" x14ac:dyDescent="0.25">
      <c r="A61" s="441"/>
      <c r="B61" s="269"/>
      <c r="C61" s="269"/>
      <c r="D61" s="269"/>
      <c r="E61" s="277"/>
      <c r="F61" s="277"/>
      <c r="G61" s="277"/>
      <c r="H61" s="277"/>
      <c r="I61" s="289"/>
      <c r="J61" s="269"/>
      <c r="K61" s="269"/>
      <c r="L61" s="269"/>
      <c r="M61" s="87"/>
      <c r="N61" s="51"/>
    </row>
    <row r="62" spans="1:14" x14ac:dyDescent="0.25">
      <c r="A62" s="446"/>
      <c r="B62" s="447"/>
      <c r="C62" s="269"/>
      <c r="D62" s="269"/>
      <c r="E62" s="277"/>
      <c r="F62" s="277"/>
      <c r="G62" s="277"/>
      <c r="H62" s="277"/>
      <c r="I62" s="286"/>
      <c r="J62" s="269"/>
      <c r="K62" s="269"/>
      <c r="L62" s="269"/>
      <c r="M62" s="87"/>
      <c r="N62" s="51"/>
    </row>
    <row r="63" spans="1:14" x14ac:dyDescent="0.25">
      <c r="A63" s="283"/>
      <c r="B63" s="447"/>
      <c r="C63" s="269"/>
      <c r="D63" s="269"/>
      <c r="E63" s="277"/>
      <c r="F63" s="277"/>
      <c r="G63" s="452"/>
      <c r="H63" s="286"/>
      <c r="I63" s="277"/>
      <c r="J63" s="269"/>
      <c r="K63" s="269"/>
      <c r="L63" s="269"/>
      <c r="M63" s="87"/>
      <c r="N63" s="51"/>
    </row>
    <row r="64" spans="1:14" x14ac:dyDescent="0.25">
      <c r="A64" s="283"/>
      <c r="B64" s="447"/>
      <c r="C64" s="269"/>
      <c r="D64" s="269"/>
      <c r="E64" s="269"/>
      <c r="F64" s="452"/>
      <c r="G64" s="269"/>
      <c r="H64" s="452"/>
      <c r="I64" s="452"/>
      <c r="J64" s="452"/>
      <c r="K64" s="269"/>
      <c r="L64" s="269"/>
      <c r="M64" s="87"/>
      <c r="N64" s="51"/>
    </row>
    <row r="65" spans="1:14" x14ac:dyDescent="0.25">
      <c r="A65" s="283"/>
      <c r="B65" s="269"/>
      <c r="C65" s="269"/>
      <c r="D65" s="269"/>
      <c r="E65" s="269"/>
      <c r="F65" s="269"/>
      <c r="G65" s="269"/>
      <c r="H65" s="198"/>
      <c r="I65" s="269"/>
      <c r="J65" s="269"/>
      <c r="K65" s="269"/>
      <c r="L65" s="269"/>
      <c r="M65" s="87"/>
      <c r="N65" s="51"/>
    </row>
    <row r="66" spans="1:14" x14ac:dyDescent="0.25">
      <c r="A66" s="283"/>
      <c r="B66" s="269"/>
      <c r="C66" s="269"/>
      <c r="D66" s="269"/>
      <c r="E66" s="269"/>
      <c r="F66" s="269"/>
      <c r="G66" s="269"/>
      <c r="H66" s="198"/>
      <c r="I66" s="269"/>
      <c r="J66" s="269"/>
      <c r="K66" s="269"/>
      <c r="L66" s="269"/>
      <c r="M66" s="87"/>
      <c r="N66" s="51"/>
    </row>
    <row r="67" spans="1:14" x14ac:dyDescent="0.25">
      <c r="A67" s="283"/>
      <c r="B67" s="269"/>
      <c r="C67" s="269"/>
      <c r="D67" s="269"/>
      <c r="E67" s="269"/>
      <c r="F67" s="269"/>
      <c r="G67" s="269"/>
      <c r="H67" s="365"/>
      <c r="I67" s="269"/>
      <c r="J67" s="269"/>
      <c r="K67" s="269"/>
      <c r="L67" s="269"/>
      <c r="M67" s="87"/>
      <c r="N67" s="51"/>
    </row>
    <row r="68" spans="1:14" x14ac:dyDescent="0.25">
      <c r="A68" s="269"/>
      <c r="B68" s="269"/>
      <c r="C68" s="269"/>
      <c r="D68" s="269"/>
      <c r="E68" s="269"/>
      <c r="F68" s="269"/>
      <c r="G68" s="269"/>
      <c r="H68" s="365"/>
      <c r="I68" s="269"/>
      <c r="J68" s="269"/>
      <c r="K68" s="269"/>
      <c r="L68" s="269"/>
      <c r="M68" s="87"/>
      <c r="N68" s="51"/>
    </row>
    <row r="69" spans="1:14" x14ac:dyDescent="0.25">
      <c r="A69" s="269"/>
      <c r="B69" s="269"/>
      <c r="C69" s="269"/>
      <c r="D69" s="269"/>
      <c r="E69" s="269"/>
      <c r="F69" s="269"/>
      <c r="G69" s="269"/>
      <c r="H69" s="365"/>
      <c r="I69" s="269"/>
      <c r="J69" s="269"/>
      <c r="K69" s="269"/>
      <c r="L69" s="269"/>
      <c r="M69" s="87"/>
      <c r="N69" s="51"/>
    </row>
    <row r="70" spans="1:14" x14ac:dyDescent="0.25">
      <c r="A70" s="269"/>
      <c r="B70" s="269"/>
      <c r="C70" s="269"/>
      <c r="D70" s="269"/>
      <c r="E70" s="269"/>
      <c r="F70" s="269"/>
      <c r="G70" s="269"/>
      <c r="H70" s="365"/>
      <c r="I70" s="269"/>
      <c r="J70" s="365"/>
      <c r="K70" s="269"/>
      <c r="L70" s="269"/>
      <c r="M70" s="87"/>
      <c r="N70" s="51"/>
    </row>
    <row r="71" spans="1:14" x14ac:dyDescent="0.25">
      <c r="A71" s="269"/>
      <c r="B71" s="269"/>
      <c r="C71" s="269"/>
      <c r="D71" s="269"/>
      <c r="E71" s="269"/>
      <c r="F71" s="269"/>
      <c r="G71" s="269"/>
      <c r="H71" s="365"/>
      <c r="I71" s="269"/>
      <c r="J71" s="269"/>
      <c r="K71" s="269"/>
      <c r="L71" s="269"/>
      <c r="M71" s="87"/>
      <c r="N71" s="51"/>
    </row>
    <row r="72" spans="1:14" x14ac:dyDescent="0.25">
      <c r="A72" s="269"/>
      <c r="B72" s="269"/>
      <c r="C72" s="269"/>
      <c r="D72" s="269"/>
      <c r="E72" s="269"/>
      <c r="F72" s="269"/>
      <c r="G72" s="269"/>
      <c r="H72" s="365"/>
      <c r="I72" s="448"/>
      <c r="J72" s="269"/>
      <c r="K72" s="269"/>
      <c r="L72" s="269"/>
      <c r="M72" s="87"/>
      <c r="N72" s="51"/>
    </row>
    <row r="73" spans="1:14" x14ac:dyDescent="0.25">
      <c r="A73" s="269"/>
      <c r="B73" s="269"/>
      <c r="C73" s="269"/>
      <c r="D73" s="269"/>
      <c r="E73" s="269"/>
      <c r="F73" s="269"/>
      <c r="G73" s="269"/>
      <c r="H73" s="198"/>
      <c r="I73" s="448"/>
      <c r="J73" s="269"/>
      <c r="K73" s="269"/>
      <c r="L73" s="269"/>
      <c r="M73" s="87"/>
      <c r="N73" s="51"/>
    </row>
    <row r="74" spans="1:14" x14ac:dyDescent="0.25">
      <c r="A74" s="269"/>
      <c r="B74" s="269"/>
      <c r="C74" s="269"/>
      <c r="D74" s="269"/>
      <c r="E74" s="269"/>
      <c r="F74" s="269"/>
      <c r="G74" s="269"/>
      <c r="H74" s="198"/>
      <c r="I74" s="448"/>
      <c r="J74" s="269"/>
      <c r="K74" s="269"/>
      <c r="L74" s="269"/>
      <c r="M74" s="87"/>
      <c r="N74" s="51"/>
    </row>
    <row r="75" spans="1:14" x14ac:dyDescent="0.25">
      <c r="A75" s="269"/>
      <c r="B75" s="269"/>
      <c r="C75" s="269"/>
      <c r="D75" s="269"/>
      <c r="E75" s="269"/>
      <c r="F75" s="269"/>
      <c r="G75" s="269"/>
      <c r="H75" s="365"/>
      <c r="I75" s="448"/>
      <c r="J75" s="269"/>
      <c r="K75" s="269"/>
      <c r="L75" s="269"/>
      <c r="M75" s="87"/>
      <c r="N75" s="51"/>
    </row>
    <row r="76" spans="1:14" x14ac:dyDescent="0.25">
      <c r="A76" s="269"/>
      <c r="B76" s="269"/>
      <c r="C76" s="269"/>
      <c r="D76" s="269"/>
      <c r="E76" s="269"/>
      <c r="F76" s="445"/>
      <c r="G76" s="449"/>
      <c r="H76" s="450"/>
      <c r="I76" s="448"/>
      <c r="J76" s="269"/>
      <c r="K76" s="269"/>
      <c r="L76" s="269"/>
      <c r="M76" s="87"/>
      <c r="N76" s="51"/>
    </row>
    <row r="77" spans="1:14" x14ac:dyDescent="0.25">
      <c r="A77" s="269"/>
      <c r="B77" s="269"/>
      <c r="C77" s="269"/>
      <c r="D77" s="269"/>
      <c r="E77" s="283"/>
      <c r="F77" s="269"/>
      <c r="G77" s="448"/>
      <c r="H77" s="365"/>
      <c r="I77" s="442"/>
      <c r="J77" s="269"/>
      <c r="K77" s="269"/>
      <c r="L77" s="269"/>
      <c r="M77" s="87"/>
      <c r="N77" s="51"/>
    </row>
    <row r="78" spans="1:14" x14ac:dyDescent="0.25">
      <c r="A78" s="269"/>
      <c r="B78" s="269"/>
      <c r="C78" s="269"/>
      <c r="D78" s="198"/>
      <c r="E78" s="269"/>
      <c r="F78" s="443"/>
      <c r="G78" s="269"/>
      <c r="H78" s="451"/>
      <c r="I78" s="452"/>
      <c r="J78" s="269"/>
      <c r="K78" s="269"/>
      <c r="L78" s="269"/>
      <c r="M78" s="87"/>
      <c r="N78" s="51"/>
    </row>
    <row r="79" spans="1:14" x14ac:dyDescent="0.25">
      <c r="A79" s="269"/>
      <c r="B79" s="269"/>
      <c r="C79" s="269"/>
      <c r="D79" s="198"/>
      <c r="E79" s="269"/>
      <c r="F79" s="269"/>
      <c r="G79" s="269"/>
      <c r="H79" s="452"/>
      <c r="I79" s="269"/>
      <c r="J79" s="269"/>
      <c r="K79" s="269"/>
      <c r="L79" s="269"/>
      <c r="M79" s="87"/>
      <c r="N79" s="51"/>
    </row>
    <row r="80" spans="1:14" x14ac:dyDescent="0.25">
      <c r="A80" s="269"/>
      <c r="B80" s="269"/>
      <c r="C80" s="269"/>
      <c r="D80" s="198"/>
      <c r="E80" s="269"/>
      <c r="F80" s="269"/>
      <c r="G80" s="269"/>
      <c r="H80" s="452"/>
      <c r="I80" s="269"/>
      <c r="J80" s="269"/>
      <c r="K80" s="269"/>
      <c r="L80" s="269"/>
      <c r="M80" s="87"/>
      <c r="N80" s="51"/>
    </row>
    <row r="81" spans="1:14" x14ac:dyDescent="0.25">
      <c r="A81" s="269"/>
      <c r="B81" s="269"/>
      <c r="C81" s="269"/>
      <c r="D81" s="198"/>
      <c r="E81" s="269"/>
      <c r="F81" s="269"/>
      <c r="G81" s="269"/>
      <c r="H81" s="452"/>
      <c r="I81" s="269"/>
      <c r="J81" s="269"/>
      <c r="K81" s="269"/>
      <c r="L81" s="269"/>
      <c r="M81" s="87"/>
      <c r="N81" s="51"/>
    </row>
    <row r="82" spans="1:14" x14ac:dyDescent="0.25">
      <c r="A82" s="269"/>
      <c r="B82" s="269"/>
      <c r="C82" s="269"/>
      <c r="D82" s="269"/>
      <c r="E82" s="269"/>
      <c r="F82" s="269"/>
      <c r="G82" s="269"/>
      <c r="H82" s="452"/>
      <c r="I82" s="269"/>
      <c r="J82" s="269"/>
      <c r="K82" s="269"/>
      <c r="L82" s="269"/>
      <c r="M82" s="87"/>
      <c r="N82" s="51"/>
    </row>
    <row r="83" spans="1:14" x14ac:dyDescent="0.25">
      <c r="A83" s="269"/>
      <c r="B83" s="269"/>
      <c r="C83" s="269"/>
      <c r="D83" s="269"/>
      <c r="E83" s="269"/>
      <c r="F83" s="269"/>
      <c r="G83" s="269"/>
      <c r="H83" s="452"/>
      <c r="I83" s="269"/>
      <c r="J83" s="269"/>
      <c r="K83" s="269"/>
      <c r="L83" s="269"/>
      <c r="M83" s="87"/>
      <c r="N83" s="51"/>
    </row>
    <row r="84" spans="1:14" x14ac:dyDescent="0.25">
      <c r="A84" s="269"/>
      <c r="B84" s="269"/>
      <c r="C84" s="269"/>
      <c r="D84" s="269"/>
      <c r="E84" s="269"/>
      <c r="F84" s="269"/>
      <c r="G84" s="269"/>
      <c r="H84" s="452"/>
      <c r="I84" s="269"/>
      <c r="J84" s="269"/>
      <c r="K84" s="269"/>
      <c r="L84" s="269"/>
      <c r="M84" s="87"/>
      <c r="N84" s="51"/>
    </row>
    <row r="85" spans="1:14" x14ac:dyDescent="0.25">
      <c r="A85" s="269"/>
      <c r="B85" s="269"/>
      <c r="C85" s="269"/>
      <c r="D85" s="269"/>
      <c r="E85" s="269"/>
      <c r="F85" s="269"/>
      <c r="G85" s="269"/>
      <c r="H85" s="452"/>
      <c r="I85" s="269"/>
      <c r="J85" s="269"/>
      <c r="K85" s="269"/>
      <c r="L85" s="269"/>
      <c r="M85" s="87"/>
      <c r="N85" s="51"/>
    </row>
    <row r="86" spans="1:14" x14ac:dyDescent="0.25">
      <c r="A86" s="269"/>
      <c r="B86" s="269"/>
      <c r="C86" s="269"/>
      <c r="D86" s="269"/>
      <c r="E86" s="269"/>
      <c r="F86" s="269"/>
      <c r="G86" s="269"/>
      <c r="H86" s="452"/>
      <c r="I86" s="269"/>
      <c r="J86" s="269"/>
      <c r="K86" s="269"/>
      <c r="L86" s="269"/>
      <c r="M86" s="87"/>
      <c r="N86" s="51"/>
    </row>
    <row r="87" spans="1:14" x14ac:dyDescent="0.25">
      <c r="A87" s="269"/>
      <c r="B87" s="269"/>
      <c r="C87" s="269"/>
      <c r="D87" s="269"/>
      <c r="E87" s="269"/>
      <c r="F87" s="269"/>
      <c r="G87" s="269"/>
      <c r="H87" s="452"/>
      <c r="I87" s="269"/>
      <c r="J87" s="269"/>
      <c r="K87" s="269"/>
      <c r="L87" s="269"/>
      <c r="M87" s="87"/>
      <c r="N87" s="51"/>
    </row>
    <row r="88" spans="1:14" x14ac:dyDescent="0.25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51"/>
      <c r="N88" s="51"/>
    </row>
    <row r="89" spans="1:14" x14ac:dyDescent="0.25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51"/>
      <c r="N89" s="51"/>
    </row>
    <row r="90" spans="1:14" x14ac:dyDescent="0.25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51"/>
      <c r="N90" s="51"/>
    </row>
    <row r="91" spans="1:14" x14ac:dyDescent="0.25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51"/>
      <c r="N91" s="51"/>
    </row>
    <row r="92" spans="1:14" x14ac:dyDescent="0.25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51"/>
      <c r="N92" s="51"/>
    </row>
    <row r="93" spans="1:14" x14ac:dyDescent="0.25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51"/>
      <c r="N93" s="51"/>
    </row>
    <row r="94" spans="1:14" x14ac:dyDescent="0.25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51"/>
      <c r="N94" s="51"/>
    </row>
    <row r="95" spans="1:14" x14ac:dyDescent="0.2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51"/>
      <c r="N95" s="51"/>
    </row>
    <row r="96" spans="1:14" x14ac:dyDescent="0.25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51"/>
      <c r="N96" s="51"/>
    </row>
    <row r="97" spans="1:14" x14ac:dyDescent="0.25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51"/>
      <c r="N97" s="51"/>
    </row>
    <row r="98" spans="1:14" x14ac:dyDescent="0.25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51"/>
      <c r="N98" s="51"/>
    </row>
    <row r="99" spans="1:14" x14ac:dyDescent="0.25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51"/>
      <c r="N99" s="51"/>
    </row>
    <row r="100" spans="1:14" x14ac:dyDescent="0.25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51"/>
      <c r="N100" s="51"/>
    </row>
    <row r="101" spans="1:14" x14ac:dyDescent="0.25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51"/>
      <c r="N101" s="51"/>
    </row>
    <row r="102" spans="1:14" x14ac:dyDescent="0.25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51"/>
      <c r="N102" s="51"/>
    </row>
    <row r="103" spans="1:14" x14ac:dyDescent="0.25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51"/>
      <c r="N103" s="51"/>
    </row>
    <row r="104" spans="1:14" x14ac:dyDescent="0.25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51"/>
      <c r="N104" s="51"/>
    </row>
    <row r="105" spans="1:14" x14ac:dyDescent="0.25">
      <c r="A105" s="296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296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296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296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296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296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296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296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296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296"/>
      <c r="B114" s="51"/>
      <c r="C114" s="51"/>
      <c r="D114" s="51"/>
      <c r="E114" s="51"/>
      <c r="F114" s="51"/>
      <c r="G114" s="296"/>
      <c r="H114" s="51"/>
      <c r="I114" s="51"/>
      <c r="J114" s="51"/>
      <c r="K114" s="51"/>
      <c r="L114" s="51"/>
      <c r="M114" s="51"/>
      <c r="N114" s="51"/>
    </row>
    <row r="115" spans="1:14" x14ac:dyDescent="0.2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51"/>
    </row>
    <row r="116" spans="1:14" x14ac:dyDescent="0.25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51"/>
    </row>
    <row r="117" spans="1:14" x14ac:dyDescent="0.25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51"/>
    </row>
    <row r="118" spans="1:14" x14ac:dyDescent="0.25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51"/>
    </row>
    <row r="119" spans="1:14" x14ac:dyDescent="0.25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51"/>
    </row>
    <row r="120" spans="1:14" x14ac:dyDescent="0.25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51"/>
    </row>
    <row r="121" spans="1:14" x14ac:dyDescent="0.25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51"/>
    </row>
    <row r="122" spans="1:14" x14ac:dyDescent="0.25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51"/>
    </row>
    <row r="123" spans="1:14" x14ac:dyDescent="0.25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51"/>
    </row>
    <row r="124" spans="1:14" x14ac:dyDescent="0.25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51"/>
    </row>
    <row r="125" spans="1:14" x14ac:dyDescent="0.25">
      <c r="A125" s="296"/>
      <c r="B125" s="296"/>
      <c r="C125" s="296"/>
      <c r="D125" s="296"/>
      <c r="E125" s="296"/>
      <c r="F125" s="296"/>
      <c r="G125" s="50"/>
      <c r="H125" s="296"/>
      <c r="I125" s="296"/>
      <c r="J125" s="296"/>
      <c r="K125" s="296"/>
      <c r="L125" s="296"/>
      <c r="M125" s="296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7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182</v>
      </c>
      <c r="H14" s="185" t="s">
        <v>105</v>
      </c>
      <c r="I14" s="185" t="s">
        <v>132</v>
      </c>
      <c r="J14" s="278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2026-07-11T14:59:22Z</dcterms:modified>
</cp:coreProperties>
</file>