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325" yWindow="135" windowWidth="20730" windowHeight="10185" tabRatio="598"/>
  </bookViews>
  <sheets>
    <sheet name="Sheet5" sheetId="5" r:id="rId1"/>
    <sheet name="Sheet1" sheetId="1" r:id="rId2"/>
    <sheet name="Sheet2" sheetId="2" r:id="rId3"/>
    <sheet name="Sheet3" sheetId="3" r:id="rId4"/>
    <sheet name="Sheet4" sheetId="4" r:id="rId5"/>
    <sheet name="Hoja1" sheetId="6" r:id="rId6"/>
  </sheets>
  <calcPr calcId="145621"/>
</workbook>
</file>

<file path=xl/calcChain.xml><?xml version="1.0" encoding="utf-8"?>
<calcChain xmlns="http://schemas.openxmlformats.org/spreadsheetml/2006/main">
  <c r="G11" i="5" l="1"/>
  <c r="M22" i="5" l="1"/>
  <c r="F40" i="5" l="1"/>
  <c r="E40" i="5"/>
  <c r="L34" i="2" l="1"/>
  <c r="J33" i="2"/>
  <c r="D39" i="2"/>
  <c r="D37" i="2"/>
  <c r="J26" i="2" l="1"/>
  <c r="L25" i="2" l="1"/>
  <c r="J17" i="2" l="1"/>
  <c r="L17" i="2" l="1"/>
  <c r="K16" i="2" l="1"/>
</calcChain>
</file>

<file path=xl/comments1.xml><?xml version="1.0" encoding="utf-8"?>
<comments xmlns="http://schemas.openxmlformats.org/spreadsheetml/2006/main">
  <authors>
    <author>Edgardo Omar</author>
  </authors>
  <commentList>
    <comment ref="E2" authorId="0">
      <text>
        <r>
          <rPr>
            <b/>
            <sz val="9"/>
            <color indexed="81"/>
            <rFont val="Tahoma"/>
            <family val="2"/>
          </rPr>
          <t>Edgardo Omar:</t>
        </r>
        <r>
          <rPr>
            <sz val="9"/>
            <color indexed="81"/>
            <rFont val="Tahoma"/>
            <family val="2"/>
          </rPr>
          <t xml:space="preserve">
Vto 10/02/2026</t>
        </r>
      </text>
    </comment>
    <comment ref="K4" authorId="0">
      <text>
        <r>
          <rPr>
            <b/>
            <sz val="9"/>
            <color indexed="81"/>
            <rFont val="Tahoma"/>
            <charset val="1"/>
          </rPr>
          <t>Edgardo Omar:</t>
        </r>
        <r>
          <rPr>
            <sz val="9"/>
            <color indexed="81"/>
            <rFont val="Tahoma"/>
            <charset val="1"/>
          </rPr>
          <t xml:space="preserve">
1 Patentes Vencidas</t>
        </r>
      </text>
    </comment>
    <comment ref="F5" authorId="0">
      <text>
        <r>
          <rPr>
            <b/>
            <sz val="9"/>
            <color indexed="81"/>
            <rFont val="Tahoma"/>
            <family val="2"/>
          </rPr>
          <t>Edgardo Omar:</t>
        </r>
        <r>
          <rPr>
            <sz val="9"/>
            <color indexed="81"/>
            <rFont val="Tahoma"/>
            <family val="2"/>
          </rPr>
          <t xml:space="preserve">
Cel Lais Movistar deuda</t>
        </r>
      </text>
    </comment>
    <comment ref="L10" authorId="0">
      <text>
        <r>
          <rPr>
            <b/>
            <sz val="9"/>
            <color indexed="81"/>
            <rFont val="Tahoma"/>
            <family val="2"/>
          </rPr>
          <t>Edgardo Omar:</t>
        </r>
        <r>
          <rPr>
            <sz val="9"/>
            <color indexed="81"/>
            <rFont val="Tahoma"/>
            <family val="2"/>
          </rPr>
          <t xml:space="preserve">
vto 15/5</t>
        </r>
      </text>
    </comment>
    <comment ref="E11" authorId="0">
      <text>
        <r>
          <rPr>
            <b/>
            <sz val="9"/>
            <color indexed="81"/>
            <rFont val="Tahoma"/>
            <family val="2"/>
          </rPr>
          <t>Edgardo Omar:</t>
        </r>
        <r>
          <rPr>
            <sz val="9"/>
            <color indexed="81"/>
            <rFont val="Tahoma"/>
            <family val="2"/>
          </rPr>
          <t xml:space="preserve">
Saldo a favor hasta 07/26
</t>
        </r>
      </text>
    </comment>
    <comment ref="L11" authorId="0">
      <text>
        <r>
          <rPr>
            <b/>
            <sz val="9"/>
            <color indexed="81"/>
            <rFont val="Tahoma"/>
            <family val="2"/>
          </rPr>
          <t>Edgardo Omar:</t>
        </r>
        <r>
          <rPr>
            <sz val="9"/>
            <color indexed="81"/>
            <rFont val="Tahoma"/>
            <family val="2"/>
          </rPr>
          <t xml:space="preserve">
Abonado 15/5</t>
        </r>
      </text>
    </comment>
    <comment ref="G12" authorId="0">
      <text>
        <r>
          <rPr>
            <b/>
            <sz val="9"/>
            <color indexed="81"/>
            <rFont val="Tahoma"/>
            <family val="2"/>
          </rPr>
          <t>Edgardo Omar:</t>
        </r>
        <r>
          <rPr>
            <sz val="9"/>
            <color indexed="81"/>
            <rFont val="Tahoma"/>
            <family val="2"/>
          </rPr>
          <t xml:space="preserve">
vto 15/5</t>
        </r>
      </text>
    </comment>
    <comment ref="G13" authorId="0">
      <text>
        <r>
          <rPr>
            <b/>
            <sz val="9"/>
            <color indexed="81"/>
            <rFont val="Tahoma"/>
            <family val="2"/>
          </rPr>
          <t>Edgardo Omar:</t>
        </r>
        <r>
          <rPr>
            <sz val="9"/>
            <color indexed="81"/>
            <rFont val="Tahoma"/>
            <family val="2"/>
          </rPr>
          <t xml:space="preserve">
Abonado 15/5</t>
        </r>
      </text>
    </comment>
  </commentList>
</comments>
</file>

<file path=xl/comments2.xml><?xml version="1.0" encoding="utf-8"?>
<comments xmlns="http://schemas.openxmlformats.org/spreadsheetml/2006/main">
  <authors>
    <author>Omar</author>
  </authors>
  <commentList>
    <comment ref="Z8" authorId="0">
      <text>
        <r>
          <rPr>
            <b/>
            <sz val="9"/>
            <color indexed="81"/>
            <rFont val="Tahoma"/>
            <family val="2"/>
          </rPr>
          <t>Omar:</t>
        </r>
        <r>
          <rPr>
            <sz val="9"/>
            <color indexed="81"/>
            <rFont val="Tahoma"/>
            <family val="2"/>
          </rPr>
          <t xml:space="preserve">
con tarjeta de credito visa ciudad</t>
        </r>
      </text>
    </comment>
  </commentList>
</comments>
</file>

<file path=xl/sharedStrings.xml><?xml version="1.0" encoding="utf-8"?>
<sst xmlns="http://schemas.openxmlformats.org/spreadsheetml/2006/main" count="293" uniqueCount="209">
  <si>
    <t>Servicios</t>
  </si>
  <si>
    <t>Edenor</t>
  </si>
  <si>
    <t>Gas Fenosa</t>
  </si>
  <si>
    <t>Aysa</t>
  </si>
  <si>
    <t>Telefonica</t>
  </si>
  <si>
    <t>Impuest</t>
  </si>
  <si>
    <t>Municipal</t>
  </si>
  <si>
    <t>Sube</t>
  </si>
  <si>
    <t>Diezmo</t>
  </si>
  <si>
    <t>Vacunas</t>
  </si>
  <si>
    <t>Antipulgas</t>
  </si>
  <si>
    <t>Vitaminas</t>
  </si>
  <si>
    <t>Cosmeticos</t>
  </si>
  <si>
    <t>Royal Urinari</t>
  </si>
  <si>
    <t>ry</t>
  </si>
  <si>
    <t>Medicamentos</t>
  </si>
  <si>
    <t>Royal Fit 32</t>
  </si>
  <si>
    <t>Lais</t>
  </si>
  <si>
    <t>opcion</t>
  </si>
  <si>
    <t xml:space="preserve">  </t>
  </si>
  <si>
    <t>Febrero</t>
  </si>
  <si>
    <t>Marzo</t>
  </si>
  <si>
    <t>Abril</t>
  </si>
  <si>
    <t>Movistar</t>
  </si>
  <si>
    <t>Enero</t>
  </si>
  <si>
    <t>sin cuota</t>
  </si>
  <si>
    <t>15151.13</t>
  </si>
  <si>
    <t>OK</t>
  </si>
  <si>
    <t>Ok</t>
  </si>
  <si>
    <t>Presupuestos mensuales 2021</t>
  </si>
  <si>
    <t>Arba (anual)</t>
  </si>
  <si>
    <t>Prestamo Ciudad</t>
  </si>
  <si>
    <t>Prestamo Frances</t>
  </si>
  <si>
    <t>Otros gastos</t>
  </si>
  <si>
    <t>Gastos Financieros</t>
  </si>
  <si>
    <t>Tarj Ciudad MAST</t>
  </si>
  <si>
    <t>Tarj Ciudad VISA</t>
  </si>
  <si>
    <t xml:space="preserve">Tarj HSBC Visa </t>
  </si>
  <si>
    <t>Cuota ingles</t>
  </si>
  <si>
    <t>Mayo</t>
  </si>
  <si>
    <t>diferido</t>
  </si>
  <si>
    <t>Junio</t>
  </si>
  <si>
    <t>Prestamo Frances 2</t>
  </si>
  <si>
    <t>Julio</t>
  </si>
  <si>
    <t>OK  Año</t>
  </si>
  <si>
    <t>Agosto</t>
  </si>
  <si>
    <t>Septiembre</t>
  </si>
  <si>
    <t>Octubre</t>
  </si>
  <si>
    <t>Noviembre</t>
  </si>
  <si>
    <t>Diciembre</t>
  </si>
  <si>
    <t>Carrefour Laura</t>
  </si>
  <si>
    <t>Seguro Moto</t>
  </si>
  <si>
    <t>Patente Moto</t>
  </si>
  <si>
    <t>Gastos Mensuales</t>
  </si>
  <si>
    <t>Agua Cimens</t>
  </si>
  <si>
    <t>Tuenti</t>
  </si>
  <si>
    <t>MERCADO PAGO</t>
  </si>
  <si>
    <t>Visa Frances Omar</t>
  </si>
  <si>
    <t>Alimento Gatas</t>
  </si>
  <si>
    <t>Ofr Misionera</t>
  </si>
  <si>
    <t>Frances Eliel Visa</t>
  </si>
  <si>
    <t>Cuenta corriente fran</t>
  </si>
  <si>
    <t>Telefonia Movistar</t>
  </si>
  <si>
    <t>AGOSTO</t>
  </si>
  <si>
    <t>SEPTIEMBRE</t>
  </si>
  <si>
    <t>Pagado</t>
  </si>
  <si>
    <t>CREDICOOP AHORRO</t>
  </si>
  <si>
    <t>Julio/YPF</t>
  </si>
  <si>
    <t>Agua Miranda</t>
  </si>
  <si>
    <t>HDL</t>
  </si>
  <si>
    <t>LDL</t>
  </si>
  <si>
    <t>Total</t>
  </si>
  <si>
    <t>Trig</t>
  </si>
  <si>
    <t>Optimo</t>
  </si>
  <si>
    <t>CT/HDL</t>
  </si>
  <si>
    <t>LDL/HDL</t>
  </si>
  <si>
    <t>Trig/HDL</t>
  </si>
  <si>
    <t>CT-HDL-(Trig/5)</t>
  </si>
  <si>
    <t>CT-HDL)</t>
  </si>
  <si>
    <t>Agosto/YPF</t>
  </si>
  <si>
    <t>Seguro/Acarreo</t>
  </si>
  <si>
    <t>Magnecios</t>
  </si>
  <si>
    <t>Hongos</t>
  </si>
  <si>
    <t>Taurato</t>
  </si>
  <si>
    <t>Bisglisinato</t>
  </si>
  <si>
    <t>Bacopa Monieri</t>
  </si>
  <si>
    <t>Cardo Mariano</t>
  </si>
  <si>
    <t>Suplemento K2 D3</t>
  </si>
  <si>
    <t>Omega 3</t>
  </si>
  <si>
    <t>5 Magnecios</t>
  </si>
  <si>
    <t>Q10</t>
  </si>
  <si>
    <t xml:space="preserve">Anis </t>
  </si>
  <si>
    <t>Menta</t>
  </si>
  <si>
    <t>Chia</t>
  </si>
  <si>
    <t>Sesamo</t>
  </si>
  <si>
    <t>Lino</t>
  </si>
  <si>
    <t>Nueces</t>
  </si>
  <si>
    <t>Mani</t>
  </si>
  <si>
    <t xml:space="preserve">Avena </t>
  </si>
  <si>
    <t>Selvado Avena</t>
  </si>
  <si>
    <t>Soja</t>
  </si>
  <si>
    <t>Lentejones</t>
  </si>
  <si>
    <t>Chocolate amargo 100%</t>
  </si>
  <si>
    <t>Miel Pura</t>
  </si>
  <si>
    <t>Quinoa</t>
  </si>
  <si>
    <t>Milanesas soja seca</t>
  </si>
  <si>
    <t>Oliva Virgen</t>
  </si>
  <si>
    <t>Curcuma</t>
  </si>
  <si>
    <t>Vinagre sidra de manzana</t>
  </si>
  <si>
    <t>TE</t>
  </si>
  <si>
    <t>Manzanilla</t>
  </si>
  <si>
    <t xml:space="preserve">Hinojo </t>
  </si>
  <si>
    <t>Flor de Jamaica</t>
  </si>
  <si>
    <t>Verde</t>
  </si>
  <si>
    <t>Negro</t>
  </si>
  <si>
    <t>Romero</t>
  </si>
  <si>
    <t>Jengibre</t>
  </si>
  <si>
    <t>Clavo de Olor</t>
  </si>
  <si>
    <t>Ciruelas</t>
  </si>
  <si>
    <t>Centella Asiatica</t>
  </si>
  <si>
    <t>Laurel</t>
  </si>
  <si>
    <t>Preparados</t>
  </si>
  <si>
    <t>Apio</t>
  </si>
  <si>
    <t>Limon</t>
  </si>
  <si>
    <t>Manzana Verde</t>
  </si>
  <si>
    <t>Pepino</t>
  </si>
  <si>
    <t>Remolacha</t>
  </si>
  <si>
    <t>Tomate</t>
  </si>
  <si>
    <t xml:space="preserve">Ajo </t>
  </si>
  <si>
    <t>Oregano</t>
  </si>
  <si>
    <t xml:space="preserve">Curcuma </t>
  </si>
  <si>
    <t>Manzana verde</t>
  </si>
  <si>
    <t>Canela</t>
  </si>
  <si>
    <t>Garbansos</t>
  </si>
  <si>
    <t>Probioticos</t>
  </si>
  <si>
    <t>Kefir</t>
  </si>
  <si>
    <t>Coliflor</t>
  </si>
  <si>
    <t>Chia Lino Sesamo</t>
  </si>
  <si>
    <t>Avena</t>
  </si>
  <si>
    <t>Agua</t>
  </si>
  <si>
    <t>espinaca</t>
  </si>
  <si>
    <t>remolacha</t>
  </si>
  <si>
    <t>repollo brucelas</t>
  </si>
  <si>
    <t>Banana</t>
  </si>
  <si>
    <t xml:space="preserve">Chocolate </t>
  </si>
  <si>
    <t>Semillas</t>
  </si>
  <si>
    <t>Salvado avena</t>
  </si>
  <si>
    <t>Ajo</t>
  </si>
  <si>
    <t>Sep/YPF</t>
  </si>
  <si>
    <t>Tarj Carrefour Omar</t>
  </si>
  <si>
    <t>Frances Lais</t>
  </si>
  <si>
    <t>Treonato</t>
  </si>
  <si>
    <t>Amaranto</t>
  </si>
  <si>
    <t>Brocoli</t>
  </si>
  <si>
    <t>Zanahoria</t>
  </si>
  <si>
    <t xml:space="preserve">Suplemento B  </t>
  </si>
  <si>
    <t>Betacaroteno</t>
  </si>
  <si>
    <t>OCTUBRE</t>
  </si>
  <si>
    <t>Vitamina C ,Zinc</t>
  </si>
  <si>
    <t>Hierro</t>
  </si>
  <si>
    <t>(jugo zanahoria)</t>
  </si>
  <si>
    <t>Vitamina E Tocotrenoles</t>
  </si>
  <si>
    <t>Har Trigo Sarraceno</t>
  </si>
  <si>
    <t xml:space="preserve">  |</t>
  </si>
  <si>
    <t>|</t>
  </si>
  <si>
    <t>1|</t>
  </si>
  <si>
    <t>7347.45</t>
  </si>
  <si>
    <t>Visa Omar BBVA</t>
  </si>
  <si>
    <t>Cuotas</t>
  </si>
  <si>
    <t>Seguro y acarreo</t>
  </si>
  <si>
    <t>NOVIEMBRE</t>
  </si>
  <si>
    <t>Y P F</t>
  </si>
  <si>
    <t>Eliel</t>
  </si>
  <si>
    <t>Laura</t>
  </si>
  <si>
    <t>Laura Suaf</t>
  </si>
  <si>
    <t>Omar</t>
  </si>
  <si>
    <t>$</t>
  </si>
  <si>
    <t>Juanito</t>
  </si>
  <si>
    <t>Total Mes</t>
  </si>
  <si>
    <t>Agua Simen</t>
  </si>
  <si>
    <t>Diezmos</t>
  </si>
  <si>
    <t>Telef Movistar</t>
  </si>
  <si>
    <t>Soja textures</t>
  </si>
  <si>
    <t>Mes</t>
  </si>
  <si>
    <t>Mercado Pago</t>
  </si>
  <si>
    <t>Gastos  2026</t>
  </si>
  <si>
    <t>Gast Financieros</t>
  </si>
  <si>
    <t>Alimen efectivo</t>
  </si>
  <si>
    <t>Cobranzas</t>
  </si>
  <si>
    <t>Franc Eliel Visa</t>
  </si>
  <si>
    <t>Franc Omar Visa</t>
  </si>
  <si>
    <t>CRED AHORRO</t>
  </si>
  <si>
    <t>Comp deb/efec</t>
  </si>
  <si>
    <t>Patente</t>
  </si>
  <si>
    <t>Serv e Impuestos</t>
  </si>
  <si>
    <t>CHAMPION</t>
  </si>
  <si>
    <t>Prerstamos</t>
  </si>
  <si>
    <t>Capital</t>
  </si>
  <si>
    <t>Cuota</t>
  </si>
  <si>
    <t>Cantidad</t>
  </si>
  <si>
    <t>Vto</t>
  </si>
  <si>
    <t>Frances</t>
  </si>
  <si>
    <t>MercadoPago</t>
  </si>
  <si>
    <t>Carrefour</t>
  </si>
  <si>
    <t>PrestamCArrefour</t>
  </si>
  <si>
    <t xml:space="preserve">Cuent corriente </t>
  </si>
  <si>
    <t xml:space="preserve"> Carref Omar</t>
  </si>
  <si>
    <t>Vto Prestamos</t>
  </si>
  <si>
    <t>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</si>
</sst>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2" x14ac:knownFonts="1"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i/>
      <sz val="11"/>
      <color theme="5"/>
      <name val="Calibri"/>
      <family val="2"/>
      <scheme val="minor"/>
    </font>
    <font>
      <b/>
      <i/>
      <sz val="11"/>
      <color theme="3" tint="-0.249977111117893"/>
      <name val="Calibri"/>
      <family val="2"/>
      <scheme val="minor"/>
    </font>
    <font>
      <b/>
      <sz val="14"/>
      <color theme="5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3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4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00B0F0"/>
      </patternFill>
    </fill>
    <fill>
      <patternFill patternType="solid">
        <fgColor rgb="FFFFFF00"/>
        <bgColor rgb="FF00B0F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7">
    <xf numFmtId="0" fontId="0" fillId="0" borderId="0" xfId="0"/>
    <xf numFmtId="0" fontId="0" fillId="0" borderId="0" xfId="0"/>
    <xf numFmtId="0" fontId="0" fillId="0" borderId="0" xfId="0" applyBorder="1"/>
    <xf numFmtId="0" fontId="0" fillId="0" borderId="0" xfId="0" applyFill="1" applyBorder="1"/>
    <xf numFmtId="0" fontId="4" fillId="0" borderId="0" xfId="0" applyFont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Border="1"/>
    <xf numFmtId="0" fontId="11" fillId="3" borderId="0" xfId="0" applyFont="1" applyFill="1"/>
    <xf numFmtId="0" fontId="0" fillId="3" borderId="1" xfId="0" applyFill="1" applyBorder="1"/>
    <xf numFmtId="0" fontId="7" fillId="0" borderId="0" xfId="0" applyFont="1"/>
    <xf numFmtId="0" fontId="10" fillId="3" borderId="0" xfId="0" applyFont="1" applyFill="1" applyBorder="1"/>
    <xf numFmtId="0" fontId="0" fillId="0" borderId="3" xfId="0" applyBorder="1"/>
    <xf numFmtId="0" fontId="13" fillId="3" borderId="0" xfId="0" applyFont="1" applyFill="1"/>
    <xf numFmtId="0" fontId="13" fillId="0" borderId="0" xfId="0" applyFont="1"/>
    <xf numFmtId="0" fontId="0" fillId="4" borderId="1" xfId="0" applyFill="1" applyBorder="1"/>
    <xf numFmtId="17" fontId="0" fillId="0" borderId="0" xfId="0" applyNumberFormat="1"/>
    <xf numFmtId="0" fontId="8" fillId="0" borderId="0" xfId="0" applyFont="1"/>
    <xf numFmtId="0" fontId="1" fillId="3" borderId="0" xfId="0" applyFont="1" applyFill="1"/>
    <xf numFmtId="0" fontId="12" fillId="3" borderId="0" xfId="0" applyFont="1" applyFill="1"/>
    <xf numFmtId="0" fontId="7" fillId="3" borderId="0" xfId="0" applyFont="1" applyFill="1" applyBorder="1"/>
    <xf numFmtId="0" fontId="16" fillId="0" borderId="0" xfId="0" applyFont="1"/>
    <xf numFmtId="0" fontId="17" fillId="3" borderId="0" xfId="0" applyFont="1" applyFill="1" applyBorder="1"/>
    <xf numFmtId="16" fontId="7" fillId="0" borderId="0" xfId="0" applyNumberFormat="1" applyFont="1"/>
    <xf numFmtId="16" fontId="0" fillId="0" borderId="0" xfId="0" applyNumberFormat="1"/>
    <xf numFmtId="0" fontId="1" fillId="0" borderId="0" xfId="0" applyFont="1"/>
    <xf numFmtId="0" fontId="18" fillId="0" borderId="0" xfId="0" applyFont="1"/>
    <xf numFmtId="0" fontId="2" fillId="0" borderId="0" xfId="0" applyFont="1"/>
    <xf numFmtId="0" fontId="0" fillId="13" borderId="1" xfId="0" applyFill="1" applyBorder="1"/>
    <xf numFmtId="0" fontId="0" fillId="0" borderId="0" xfId="0" applyAlignment="1">
      <alignment horizontal="right"/>
    </xf>
    <xf numFmtId="0" fontId="8" fillId="3" borderId="0" xfId="0" applyFont="1" applyFill="1"/>
    <xf numFmtId="0" fontId="15" fillId="3" borderId="0" xfId="0" applyFont="1" applyFill="1" applyBorder="1"/>
    <xf numFmtId="0" fontId="2" fillId="6" borderId="1" xfId="0" applyFont="1" applyFill="1" applyBorder="1"/>
    <xf numFmtId="0" fontId="19" fillId="12" borderId="1" xfId="0" applyFont="1" applyFill="1" applyBorder="1"/>
    <xf numFmtId="0" fontId="3" fillId="9" borderId="1" xfId="0" applyFont="1" applyFill="1" applyBorder="1"/>
    <xf numFmtId="0" fontId="0" fillId="17" borderId="0" xfId="0" applyFill="1"/>
    <xf numFmtId="0" fontId="19" fillId="0" borderId="1" xfId="0" applyFont="1" applyBorder="1" applyAlignment="1">
      <alignment horizontal="left"/>
    </xf>
    <xf numFmtId="0" fontId="5" fillId="11" borderId="1" xfId="0" applyFont="1" applyFill="1" applyBorder="1"/>
    <xf numFmtId="0" fontId="20" fillId="10" borderId="1" xfId="0" applyFont="1" applyFill="1" applyBorder="1"/>
    <xf numFmtId="0" fontId="7" fillId="0" borderId="0" xfId="0" applyFont="1" applyBorder="1"/>
    <xf numFmtId="0" fontId="0" fillId="5" borderId="4" xfId="0" applyFill="1" applyBorder="1"/>
    <xf numFmtId="0" fontId="15" fillId="12" borderId="1" xfId="0" applyFont="1" applyFill="1" applyBorder="1"/>
    <xf numFmtId="0" fontId="1" fillId="0" borderId="5" xfId="0" applyFont="1" applyBorder="1"/>
    <xf numFmtId="0" fontId="14" fillId="0" borderId="5" xfId="0" applyFont="1" applyBorder="1"/>
    <xf numFmtId="0" fontId="0" fillId="14" borderId="5" xfId="0" applyFill="1" applyBorder="1"/>
    <xf numFmtId="0" fontId="0" fillId="10" borderId="5" xfId="0" applyFill="1" applyBorder="1"/>
    <xf numFmtId="0" fontId="0" fillId="15" borderId="6" xfId="0" applyFill="1" applyBorder="1"/>
    <xf numFmtId="0" fontId="0" fillId="6" borderId="5" xfId="0" applyFill="1" applyBorder="1"/>
    <xf numFmtId="0" fontId="0" fillId="6" borderId="6" xfId="0" applyFill="1" applyBorder="1"/>
    <xf numFmtId="0" fontId="0" fillId="0" borderId="2" xfId="0" applyBorder="1"/>
    <xf numFmtId="0" fontId="0" fillId="3" borderId="2" xfId="0" applyFill="1" applyBorder="1"/>
    <xf numFmtId="0" fontId="0" fillId="8" borderId="4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7" fillId="0" borderId="2" xfId="0" applyFont="1" applyBorder="1"/>
    <xf numFmtId="0" fontId="0" fillId="2" borderId="2" xfId="0" applyFill="1" applyBorder="1"/>
    <xf numFmtId="0" fontId="7" fillId="2" borderId="2" xfId="0" applyFont="1" applyFill="1" applyBorder="1"/>
    <xf numFmtId="0" fontId="0" fillId="2" borderId="2" xfId="0" applyFill="1" applyBorder="1" applyAlignment="1">
      <alignment horizontal="right"/>
    </xf>
    <xf numFmtId="0" fontId="0" fillId="2" borderId="2" xfId="0" applyFont="1" applyFill="1" applyBorder="1"/>
    <xf numFmtId="0" fontId="14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7" fillId="12" borderId="2" xfId="0" applyFont="1" applyFill="1" applyBorder="1"/>
    <xf numFmtId="0" fontId="9" fillId="2" borderId="2" xfId="0" applyFont="1" applyFill="1" applyBorder="1" applyAlignment="1">
      <alignment horizontal="right"/>
    </xf>
    <xf numFmtId="0" fontId="21" fillId="0" borderId="2" xfId="0" applyFont="1" applyBorder="1" applyAlignment="1">
      <alignment horizontal="right"/>
    </xf>
    <xf numFmtId="0" fontId="0" fillId="19" borderId="2" xfId="0" applyFill="1" applyBorder="1"/>
    <xf numFmtId="0" fontId="7" fillId="2" borderId="2" xfId="0" applyFont="1" applyFill="1" applyBorder="1" applyAlignment="1">
      <alignment horizontal="right"/>
    </xf>
    <xf numFmtId="0" fontId="14" fillId="0" borderId="2" xfId="0" applyFont="1" applyBorder="1" applyAlignment="1">
      <alignment horizontal="right"/>
    </xf>
    <xf numFmtId="0" fontId="6" fillId="3" borderId="2" xfId="0" applyFont="1" applyFill="1" applyBorder="1"/>
    <xf numFmtId="0" fontId="7" fillId="18" borderId="2" xfId="0" applyFont="1" applyFill="1" applyBorder="1" applyAlignment="1">
      <alignment horizontal="center"/>
    </xf>
    <xf numFmtId="0" fontId="10" fillId="2" borderId="2" xfId="0" applyFont="1" applyFill="1" applyBorder="1"/>
    <xf numFmtId="0" fontId="0" fillId="3" borderId="2" xfId="0" applyFont="1" applyFill="1" applyBorder="1"/>
    <xf numFmtId="0" fontId="0" fillId="0" borderId="7" xfId="0" applyBorder="1"/>
    <xf numFmtId="0" fontId="0" fillId="5" borderId="7" xfId="0" applyFill="1" applyBorder="1"/>
    <xf numFmtId="0" fontId="7" fillId="3" borderId="7" xfId="0" applyFont="1" applyFill="1" applyBorder="1"/>
    <xf numFmtId="0" fontId="0" fillId="11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0" fillId="20" borderId="2" xfId="0" applyFill="1" applyBorder="1"/>
    <xf numFmtId="0" fontId="1" fillId="21" borderId="5" xfId="0" applyFont="1" applyFill="1" applyBorder="1"/>
    <xf numFmtId="0" fontId="14" fillId="21" borderId="5" xfId="0" applyFont="1" applyFill="1" applyBorder="1"/>
    <xf numFmtId="0" fontId="1" fillId="16" borderId="5" xfId="0" applyFont="1" applyFill="1" applyBorder="1"/>
    <xf numFmtId="0" fontId="19" fillId="22" borderId="1" xfId="0" applyFont="1" applyFill="1" applyBorder="1" applyAlignment="1">
      <alignment horizontal="left"/>
    </xf>
    <xf numFmtId="0" fontId="9" fillId="13" borderId="4" xfId="0" applyFont="1" applyFill="1" applyBorder="1"/>
    <xf numFmtId="0" fontId="9" fillId="13" borderId="1" xfId="0" applyFont="1" applyFill="1" applyBorder="1"/>
    <xf numFmtId="0" fontId="0" fillId="3" borderId="7" xfId="0" applyFill="1" applyBorder="1"/>
    <xf numFmtId="0" fontId="22" fillId="0" borderId="2" xfId="0" applyFont="1" applyBorder="1"/>
    <xf numFmtId="0" fontId="7" fillId="3" borderId="2" xfId="0" applyFont="1" applyFill="1" applyBorder="1"/>
    <xf numFmtId="0" fontId="7" fillId="5" borderId="2" xfId="0" applyFont="1" applyFill="1" applyBorder="1" applyAlignment="1">
      <alignment horizontal="center"/>
    </xf>
    <xf numFmtId="0" fontId="23" fillId="3" borderId="7" xfId="0" applyFont="1" applyFill="1" applyBorder="1"/>
    <xf numFmtId="0" fontId="0" fillId="2" borderId="7" xfId="0" applyFill="1" applyBorder="1"/>
    <xf numFmtId="0" fontId="7" fillId="25" borderId="2" xfId="0" applyFont="1" applyFill="1" applyBorder="1" applyAlignment="1">
      <alignment horizontal="center"/>
    </xf>
    <xf numFmtId="0" fontId="7" fillId="13" borderId="2" xfId="0" applyFont="1" applyFill="1" applyBorder="1" applyAlignment="1">
      <alignment horizontal="center"/>
    </xf>
    <xf numFmtId="0" fontId="7" fillId="24" borderId="2" xfId="0" applyFont="1" applyFill="1" applyBorder="1"/>
    <xf numFmtId="0" fontId="7" fillId="23" borderId="2" xfId="0" applyFont="1" applyFill="1" applyBorder="1" applyAlignment="1">
      <alignment horizontal="center"/>
    </xf>
    <xf numFmtId="0" fontId="14" fillId="0" borderId="0" xfId="0" applyFont="1"/>
    <xf numFmtId="0" fontId="0" fillId="3" borderId="2" xfId="0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1" xfId="0" applyFont="1" applyFill="1" applyBorder="1"/>
    <xf numFmtId="0" fontId="0" fillId="0" borderId="13" xfId="0" applyBorder="1"/>
    <xf numFmtId="0" fontId="0" fillId="0" borderId="11" xfId="0" applyBorder="1"/>
    <xf numFmtId="2" fontId="0" fillId="0" borderId="2" xfId="0" applyNumberFormat="1" applyBorder="1"/>
    <xf numFmtId="2" fontId="0" fillId="3" borderId="2" xfId="0" applyNumberFormat="1" applyFill="1" applyBorder="1"/>
    <xf numFmtId="0" fontId="7" fillId="7" borderId="13" xfId="0" applyFont="1" applyFill="1" applyBorder="1"/>
    <xf numFmtId="0" fontId="7" fillId="0" borderId="13" xfId="0" applyFont="1" applyBorder="1" applyAlignment="1">
      <alignment horizontal="center"/>
    </xf>
    <xf numFmtId="0" fontId="7" fillId="6" borderId="13" xfId="0" applyFont="1" applyFill="1" applyBorder="1"/>
    <xf numFmtId="0" fontId="7" fillId="28" borderId="13" xfId="0" applyFont="1" applyFill="1" applyBorder="1" applyAlignment="1">
      <alignment horizontal="left"/>
    </xf>
    <xf numFmtId="0" fontId="20" fillId="10" borderId="15" xfId="0" applyFont="1" applyFill="1" applyBorder="1"/>
    <xf numFmtId="0" fontId="7" fillId="11" borderId="17" xfId="0" applyFont="1" applyFill="1" applyBorder="1"/>
    <xf numFmtId="0" fontId="29" fillId="26" borderId="2" xfId="0" applyFont="1" applyFill="1" applyBorder="1"/>
    <xf numFmtId="0" fontId="7" fillId="0" borderId="13" xfId="0" applyFont="1" applyBorder="1"/>
    <xf numFmtId="0" fontId="30" fillId="29" borderId="14" xfId="0" applyFont="1" applyFill="1" applyBorder="1" applyAlignment="1">
      <alignment horizontal="left"/>
    </xf>
    <xf numFmtId="0" fontId="31" fillId="30" borderId="1" xfId="0" applyFont="1" applyFill="1" applyBorder="1"/>
    <xf numFmtId="0" fontId="0" fillId="17" borderId="6" xfId="0" applyFill="1" applyBorder="1"/>
    <xf numFmtId="0" fontId="0" fillId="0" borderId="18" xfId="0" applyBorder="1"/>
    <xf numFmtId="0" fontId="0" fillId="3" borderId="2" xfId="0" applyFill="1" applyBorder="1" applyAlignment="1">
      <alignment horizontal="right"/>
    </xf>
    <xf numFmtId="0" fontId="7" fillId="3" borderId="2" xfId="0" applyFont="1" applyFill="1" applyBorder="1" applyAlignment="1">
      <alignment horizontal="right"/>
    </xf>
    <xf numFmtId="0" fontId="7" fillId="3" borderId="18" xfId="0" applyFont="1" applyFill="1" applyBorder="1"/>
    <xf numFmtId="0" fontId="0" fillId="3" borderId="11" xfId="0" applyFill="1" applyBorder="1"/>
    <xf numFmtId="0" fontId="7" fillId="27" borderId="0" xfId="0" applyFont="1" applyFill="1"/>
    <xf numFmtId="0" fontId="0" fillId="17" borderId="9" xfId="0" applyFill="1" applyBorder="1"/>
    <xf numFmtId="0" fontId="0" fillId="3" borderId="20" xfId="0" applyFill="1" applyBorder="1"/>
    <xf numFmtId="2" fontId="7" fillId="3" borderId="7" xfId="0" applyNumberFormat="1" applyFont="1" applyFill="1" applyBorder="1" applyAlignment="1">
      <alignment horizontal="center"/>
    </xf>
    <xf numFmtId="0" fontId="7" fillId="3" borderId="7" xfId="0" applyFont="1" applyFill="1" applyBorder="1" applyAlignment="1">
      <alignment horizontal="right"/>
    </xf>
    <xf numFmtId="0" fontId="17" fillId="3" borderId="19" xfId="0" applyFont="1" applyFill="1" applyBorder="1" applyAlignment="1">
      <alignment horizontal="right"/>
    </xf>
    <xf numFmtId="0" fontId="7" fillId="3" borderId="13" xfId="0" applyFont="1" applyFill="1" applyBorder="1" applyAlignment="1">
      <alignment horizontal="right"/>
    </xf>
    <xf numFmtId="0" fontId="20" fillId="3" borderId="2" xfId="0" applyFont="1" applyFill="1" applyBorder="1"/>
    <xf numFmtId="0" fontId="0" fillId="0" borderId="14" xfId="0" applyBorder="1"/>
    <xf numFmtId="0" fontId="7" fillId="0" borderId="2" xfId="0" applyFont="1" applyBorder="1" applyAlignment="1">
      <alignment horizontal="right"/>
    </xf>
    <xf numFmtId="0" fontId="0" fillId="0" borderId="2" xfId="0" applyBorder="1" applyAlignment="1">
      <alignment horizontal="right"/>
    </xf>
    <xf numFmtId="16" fontId="7" fillId="3" borderId="2" xfId="0" applyNumberFormat="1" applyFont="1" applyFill="1" applyBorder="1"/>
    <xf numFmtId="16" fontId="7" fillId="0" borderId="2" xfId="0" applyNumberFormat="1" applyFont="1" applyBorder="1"/>
    <xf numFmtId="2" fontId="0" fillId="3" borderId="2" xfId="0" applyNumberFormat="1" applyFont="1" applyFill="1" applyBorder="1"/>
    <xf numFmtId="2" fontId="17" fillId="3" borderId="2" xfId="0" applyNumberFormat="1" applyFont="1" applyFill="1" applyBorder="1"/>
    <xf numFmtId="0" fontId="17" fillId="0" borderId="2" xfId="0" applyFont="1" applyBorder="1"/>
    <xf numFmtId="0" fontId="7" fillId="0" borderId="13" xfId="0" applyFont="1" applyBorder="1" applyAlignment="1">
      <alignment horizontal="right"/>
    </xf>
    <xf numFmtId="0" fontId="17" fillId="3" borderId="2" xfId="0" applyFont="1" applyFill="1" applyBorder="1" applyAlignment="1">
      <alignment horizontal="right"/>
    </xf>
    <xf numFmtId="2" fontId="7" fillId="3" borderId="13" xfId="0" applyNumberFormat="1" applyFont="1" applyFill="1" applyBorder="1"/>
    <xf numFmtId="0" fontId="7" fillId="3" borderId="11" xfId="0" applyFont="1" applyFill="1" applyBorder="1"/>
    <xf numFmtId="0" fontId="17" fillId="3" borderId="2" xfId="0" applyFont="1" applyFill="1" applyBorder="1"/>
    <xf numFmtId="0" fontId="9" fillId="3" borderId="2" xfId="0" applyFont="1" applyFill="1" applyBorder="1"/>
    <xf numFmtId="0" fontId="17" fillId="3" borderId="10" xfId="0" applyFont="1" applyFill="1" applyBorder="1"/>
    <xf numFmtId="0" fontId="0" fillId="31" borderId="0" xfId="0" applyFont="1" applyFill="1" applyBorder="1"/>
    <xf numFmtId="0" fontId="7" fillId="0" borderId="2" xfId="0" applyFont="1" applyBorder="1" applyAlignment="1">
      <alignment horizontal="center"/>
    </xf>
    <xf numFmtId="0" fontId="7" fillId="33" borderId="2" xfId="0" applyFont="1" applyFill="1" applyBorder="1" applyAlignment="1">
      <alignment horizontal="center"/>
    </xf>
    <xf numFmtId="0" fontId="0" fillId="34" borderId="7" xfId="0" applyFill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17" fillId="0" borderId="7" xfId="0" applyFont="1" applyBorder="1"/>
    <xf numFmtId="0" fontId="17" fillId="2" borderId="2" xfId="0" applyFont="1" applyFill="1" applyBorder="1"/>
    <xf numFmtId="0" fontId="36" fillId="0" borderId="2" xfId="0" applyFont="1" applyBorder="1"/>
    <xf numFmtId="0" fontId="9" fillId="2" borderId="2" xfId="0" applyFont="1" applyFill="1" applyBorder="1"/>
    <xf numFmtId="0" fontId="0" fillId="0" borderId="12" xfId="0" applyBorder="1"/>
    <xf numFmtId="0" fontId="0" fillId="0" borderId="19" xfId="0" applyBorder="1"/>
    <xf numFmtId="0" fontId="9" fillId="27" borderId="1" xfId="0" applyFont="1" applyFill="1" applyBorder="1" applyAlignment="1">
      <alignment horizontal="center"/>
    </xf>
    <xf numFmtId="0" fontId="0" fillId="26" borderId="13" xfId="0" applyFill="1" applyBorder="1" applyAlignment="1">
      <alignment horizontal="center"/>
    </xf>
    <xf numFmtId="0" fontId="37" fillId="0" borderId="12" xfId="0" applyFont="1" applyBorder="1"/>
    <xf numFmtId="0" fontId="35" fillId="0" borderId="2" xfId="0" applyFont="1" applyBorder="1"/>
    <xf numFmtId="0" fontId="37" fillId="0" borderId="2" xfId="0" applyFont="1" applyBorder="1"/>
    <xf numFmtId="16" fontId="7" fillId="0" borderId="1" xfId="0" applyNumberFormat="1" applyFont="1" applyBorder="1"/>
    <xf numFmtId="16" fontId="7" fillId="0" borderId="8" xfId="0" applyNumberFormat="1" applyFont="1" applyBorder="1"/>
    <xf numFmtId="0" fontId="0" fillId="0" borderId="2" xfId="0" applyFont="1" applyBorder="1" applyAlignment="1">
      <alignment horizontal="right"/>
    </xf>
    <xf numFmtId="0" fontId="0" fillId="0" borderId="10" xfId="0" applyFill="1" applyBorder="1"/>
    <xf numFmtId="0" fontId="0" fillId="0" borderId="2" xfId="0" applyNumberFormat="1" applyBorder="1"/>
    <xf numFmtId="0" fontId="7" fillId="0" borderId="1" xfId="0" applyFont="1" applyBorder="1"/>
    <xf numFmtId="0" fontId="7" fillId="0" borderId="7" xfId="0" applyFont="1" applyBorder="1" applyAlignment="1">
      <alignment horizontal="center"/>
    </xf>
    <xf numFmtId="0" fontId="33" fillId="0" borderId="13" xfId="0" applyFont="1" applyBorder="1"/>
    <xf numFmtId="0" fontId="7" fillId="3" borderId="13" xfId="0" applyFont="1" applyFill="1" applyBorder="1"/>
    <xf numFmtId="0" fontId="33" fillId="3" borderId="13" xfId="0" applyFont="1" applyFill="1" applyBorder="1"/>
    <xf numFmtId="16" fontId="0" fillId="0" borderId="11" xfId="0" applyNumberFormat="1" applyBorder="1"/>
    <xf numFmtId="0" fontId="0" fillId="0" borderId="10" xfId="0" applyBorder="1"/>
    <xf numFmtId="16" fontId="0" fillId="0" borderId="2" xfId="0" applyNumberFormat="1" applyBorder="1"/>
    <xf numFmtId="0" fontId="17" fillId="36" borderId="2" xfId="0" applyFont="1" applyFill="1" applyBorder="1"/>
    <xf numFmtId="0" fontId="28" fillId="28" borderId="18" xfId="0" applyFont="1" applyFill="1" applyBorder="1"/>
    <xf numFmtId="16" fontId="34" fillId="32" borderId="14" xfId="0" applyNumberFormat="1" applyFont="1" applyFill="1" applyBorder="1"/>
    <xf numFmtId="0" fontId="9" fillId="37" borderId="2" xfId="0" applyFont="1" applyFill="1" applyBorder="1"/>
    <xf numFmtId="16" fontId="0" fillId="0" borderId="7" xfId="0" applyNumberFormat="1" applyBorder="1"/>
    <xf numFmtId="0" fontId="7" fillId="2" borderId="7" xfId="0" applyFont="1" applyFill="1" applyBorder="1"/>
    <xf numFmtId="0" fontId="27" fillId="3" borderId="2" xfId="0" applyFont="1" applyFill="1" applyBorder="1"/>
    <xf numFmtId="0" fontId="10" fillId="3" borderId="2" xfId="0" applyFont="1" applyFill="1" applyBorder="1" applyAlignment="1">
      <alignment horizontal="right"/>
    </xf>
    <xf numFmtId="0" fontId="23" fillId="3" borderId="2" xfId="0" applyFont="1" applyFill="1" applyBorder="1"/>
    <xf numFmtId="0" fontId="39" fillId="3" borderId="2" xfId="0" applyFont="1" applyFill="1" applyBorder="1"/>
    <xf numFmtId="0" fontId="39" fillId="3" borderId="2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left"/>
    </xf>
    <xf numFmtId="0" fontId="40" fillId="3" borderId="2" xfId="0" applyFont="1" applyFill="1" applyBorder="1" applyAlignment="1">
      <alignment horizontal="center"/>
    </xf>
    <xf numFmtId="0" fontId="36" fillId="3" borderId="2" xfId="0" applyFont="1" applyFill="1" applyBorder="1" applyAlignment="1">
      <alignment horizontal="center"/>
    </xf>
    <xf numFmtId="0" fontId="36" fillId="3" borderId="2" xfId="0" applyFont="1" applyFill="1" applyBorder="1"/>
    <xf numFmtId="0" fontId="41" fillId="0" borderId="2" xfId="0" applyFont="1" applyBorder="1"/>
    <xf numFmtId="0" fontId="36" fillId="0" borderId="2" xfId="0" applyFont="1" applyBorder="1" applyAlignment="1">
      <alignment horizontal="center"/>
    </xf>
    <xf numFmtId="16" fontId="7" fillId="3" borderId="2" xfId="0" applyNumberFormat="1" applyFont="1" applyFill="1" applyBorder="1" applyAlignment="1">
      <alignment horizontal="right"/>
    </xf>
    <xf numFmtId="0" fontId="0" fillId="3" borderId="2" xfId="0" applyNumberFormat="1" applyFill="1" applyBorder="1"/>
    <xf numFmtId="0" fontId="32" fillId="0" borderId="7" xfId="0" applyFont="1" applyBorder="1"/>
    <xf numFmtId="0" fontId="3" fillId="35" borderId="2" xfId="0" applyFont="1" applyFill="1" applyBorder="1" applyAlignment="1">
      <alignment horizontal="center"/>
    </xf>
    <xf numFmtId="0" fontId="40" fillId="35" borderId="2" xfId="0" applyFont="1" applyFill="1" applyBorder="1" applyAlignment="1">
      <alignment horizontal="center"/>
    </xf>
    <xf numFmtId="0" fontId="7" fillId="35" borderId="2" xfId="0" applyFont="1" applyFill="1" applyBorder="1"/>
    <xf numFmtId="16" fontId="0" fillId="3" borderId="2" xfId="0" applyNumberFormat="1" applyFill="1" applyBorder="1"/>
    <xf numFmtId="0" fontId="7" fillId="33" borderId="2" xfId="0" applyFont="1" applyFill="1" applyBorder="1"/>
    <xf numFmtId="0" fontId="17" fillId="2" borderId="6" xfId="0" applyFont="1" applyFill="1" applyBorder="1" applyAlignment="1">
      <alignment horizontal="right"/>
    </xf>
    <xf numFmtId="0" fontId="0" fillId="0" borderId="2" xfId="0" applyNumberFormat="1" applyFont="1" applyBorder="1"/>
    <xf numFmtId="0" fontId="0" fillId="0" borderId="0" xfId="0" applyNumberFormat="1" applyFont="1"/>
    <xf numFmtId="0" fontId="7" fillId="12" borderId="0" xfId="0" applyFont="1" applyFill="1"/>
    <xf numFmtId="0" fontId="7" fillId="31" borderId="16" xfId="0" applyFont="1" applyFill="1" applyBorder="1"/>
    <xf numFmtId="0" fontId="9" fillId="6" borderId="5" xfId="0" applyFont="1" applyFill="1" applyBorder="1"/>
    <xf numFmtId="0" fontId="7" fillId="13" borderId="4" xfId="0" applyFont="1" applyFill="1" applyBorder="1"/>
    <xf numFmtId="0" fontId="9" fillId="27" borderId="6" xfId="0" applyFont="1" applyFill="1" applyBorder="1" applyAlignment="1">
      <alignment horizontal="center"/>
    </xf>
    <xf numFmtId="0" fontId="7" fillId="5" borderId="18" xfId="0" applyFont="1" applyFill="1" applyBorder="1" applyAlignment="1">
      <alignment horizontal="center"/>
    </xf>
    <xf numFmtId="0" fontId="0" fillId="0" borderId="22" xfId="0" applyBorder="1"/>
    <xf numFmtId="0" fontId="7" fillId="0" borderId="15" xfId="0" applyFont="1" applyBorder="1"/>
    <xf numFmtId="0" fontId="0" fillId="10" borderId="2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5" fillId="38" borderId="15" xfId="0" applyFont="1" applyFill="1" applyBorder="1"/>
    <xf numFmtId="0" fontId="32" fillId="3" borderId="2" xfId="0" applyFont="1" applyFill="1" applyBorder="1"/>
    <xf numFmtId="0" fontId="17" fillId="2" borderId="7" xfId="0" applyFont="1" applyFill="1" applyBorder="1"/>
    <xf numFmtId="0" fontId="0" fillId="0" borderId="11" xfId="0" applyNumberFormat="1" applyFont="1" applyBorder="1"/>
    <xf numFmtId="0" fontId="0" fillId="0" borderId="20" xfId="0" applyBorder="1"/>
    <xf numFmtId="0" fontId="26" fillId="0" borderId="12" xfId="0" applyFont="1" applyBorder="1"/>
    <xf numFmtId="0" fontId="0" fillId="0" borderId="12" xfId="0" applyBorder="1" applyAlignment="1">
      <alignment horizontal="right"/>
    </xf>
    <xf numFmtId="0" fontId="0" fillId="0" borderId="21" xfId="0" applyBorder="1"/>
    <xf numFmtId="16" fontId="0" fillId="3" borderId="7" xfId="0" applyNumberFormat="1" applyFill="1" applyBorder="1"/>
    <xf numFmtId="0" fontId="7" fillId="3" borderId="23" xfId="0" applyFont="1" applyFill="1" applyBorder="1"/>
    <xf numFmtId="0" fontId="30" fillId="3" borderId="2" xfId="0" applyFont="1" applyFill="1" applyBorder="1"/>
    <xf numFmtId="0" fontId="42" fillId="3" borderId="2" xfId="0" applyFont="1" applyFill="1" applyBorder="1"/>
    <xf numFmtId="0" fontId="0" fillId="0" borderId="7" xfId="0" applyNumberFormat="1" applyFont="1" applyBorder="1"/>
    <xf numFmtId="0" fontId="0" fillId="0" borderId="18" xfId="0" applyFont="1" applyBorder="1"/>
    <xf numFmtId="0" fontId="0" fillId="0" borderId="24" xfId="0" applyBorder="1"/>
    <xf numFmtId="0" fontId="0" fillId="0" borderId="13" xfId="0" applyNumberFormat="1" applyFont="1" applyBorder="1"/>
    <xf numFmtId="0" fontId="26" fillId="0" borderId="11" xfId="0" applyFont="1" applyBorder="1"/>
    <xf numFmtId="0" fontId="0" fillId="0" borderId="19" xfId="0" applyBorder="1" applyAlignment="1">
      <alignment horizontal="right"/>
    </xf>
    <xf numFmtId="0" fontId="1" fillId="0" borderId="12" xfId="0" applyFont="1" applyBorder="1"/>
    <xf numFmtId="0" fontId="0" fillId="0" borderId="7" xfId="0" applyBorder="1" applyAlignment="1">
      <alignment horizontal="right"/>
    </xf>
    <xf numFmtId="0" fontId="9" fillId="2" borderId="7" xfId="0" applyFont="1" applyFill="1" applyBorder="1"/>
    <xf numFmtId="0" fontId="0" fillId="0" borderId="26" xfId="0" applyBorder="1"/>
    <xf numFmtId="0" fontId="0" fillId="3" borderId="25" xfId="0" applyFill="1" applyBorder="1"/>
    <xf numFmtId="0" fontId="38" fillId="3" borderId="2" xfId="0" applyFont="1" applyFill="1" applyBorder="1"/>
    <xf numFmtId="0" fontId="7" fillId="3" borderId="20" xfId="0" applyFont="1" applyFill="1" applyBorder="1"/>
    <xf numFmtId="14" fontId="0" fillId="3" borderId="2" xfId="0" applyNumberFormat="1" applyFill="1" applyBorder="1"/>
    <xf numFmtId="0" fontId="0" fillId="3" borderId="2" xfId="0" applyFill="1" applyBorder="1" applyAlignment="1"/>
    <xf numFmtId="0" fontId="7" fillId="3" borderId="2" xfId="0" applyFont="1" applyFill="1" applyBorder="1" applyAlignment="1"/>
    <xf numFmtId="0" fontId="0" fillId="3" borderId="7" xfId="0" applyFont="1" applyFill="1" applyBorder="1" applyAlignment="1">
      <alignment horizontal="right"/>
    </xf>
    <xf numFmtId="0" fontId="17" fillId="3" borderId="13" xfId="0" applyFont="1" applyFill="1" applyBorder="1"/>
    <xf numFmtId="0" fontId="38" fillId="3" borderId="11" xfId="0" applyNumberFormat="1" applyFont="1" applyFill="1" applyBorder="1"/>
    <xf numFmtId="0" fontId="38" fillId="3" borderId="1" xfId="0" applyNumberFormat="1" applyFont="1" applyFill="1" applyBorder="1"/>
    <xf numFmtId="0" fontId="43" fillId="3" borderId="2" xfId="0" applyFont="1" applyFill="1" applyBorder="1"/>
    <xf numFmtId="0" fontId="0" fillId="3" borderId="7" xfId="0" applyNumberFormat="1" applyFill="1" applyBorder="1"/>
    <xf numFmtId="0" fontId="0" fillId="3" borderId="13" xfId="0" applyFill="1" applyBorder="1"/>
    <xf numFmtId="0" fontId="38" fillId="3" borderId="10" xfId="0" applyNumberFormat="1" applyFont="1" applyFill="1" applyBorder="1"/>
    <xf numFmtId="0" fontId="0" fillId="3" borderId="20" xfId="0" applyNumberFormat="1" applyFill="1" applyBorder="1"/>
    <xf numFmtId="0" fontId="38" fillId="30" borderId="1" xfId="0" applyNumberFormat="1" applyFont="1" applyFill="1" applyBorder="1"/>
    <xf numFmtId="0" fontId="44" fillId="2" borderId="0" xfId="0" applyFont="1" applyFill="1"/>
    <xf numFmtId="0" fontId="0" fillId="3" borderId="12" xfId="0" applyFill="1" applyBorder="1"/>
    <xf numFmtId="0" fontId="9" fillId="0" borderId="2" xfId="0" applyFont="1" applyBorder="1"/>
    <xf numFmtId="0" fontId="10" fillId="0" borderId="7" xfId="0" applyFont="1" applyBorder="1"/>
    <xf numFmtId="0" fontId="26" fillId="0" borderId="7" xfId="0" applyFont="1" applyBorder="1"/>
    <xf numFmtId="0" fontId="0" fillId="26" borderId="14" xfId="0" applyFill="1" applyBorder="1" applyAlignment="1">
      <alignment horizontal="center"/>
    </xf>
    <xf numFmtId="0" fontId="0" fillId="0" borderId="27" xfId="0" applyBorder="1"/>
    <xf numFmtId="0" fontId="0" fillId="0" borderId="16" xfId="0" applyBorder="1"/>
    <xf numFmtId="0" fontId="0" fillId="0" borderId="28" xfId="0" applyBorder="1"/>
    <xf numFmtId="0" fontId="0" fillId="27" borderId="2" xfId="0" applyFill="1" applyBorder="1" applyAlignment="1">
      <alignment horizontal="center"/>
    </xf>
    <xf numFmtId="0" fontId="7" fillId="13" borderId="5" xfId="0" applyFont="1" applyFill="1" applyBorder="1" applyAlignment="1">
      <alignment horizontal="center"/>
    </xf>
    <xf numFmtId="0" fontId="7" fillId="31" borderId="5" xfId="0" applyFont="1" applyFill="1" applyBorder="1" applyAlignment="1">
      <alignment horizontal="center"/>
    </xf>
    <xf numFmtId="0" fontId="7" fillId="28" borderId="2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26" borderId="2" xfId="0" applyFont="1" applyFill="1" applyBorder="1"/>
    <xf numFmtId="0" fontId="0" fillId="35" borderId="2" xfId="0" applyFill="1" applyBorder="1"/>
    <xf numFmtId="0" fontId="7" fillId="39" borderId="2" xfId="0" applyFont="1" applyFill="1" applyBorder="1" applyAlignment="1">
      <alignment horizontal="center"/>
    </xf>
    <xf numFmtId="0" fontId="7" fillId="26" borderId="2" xfId="0" applyFont="1" applyFill="1" applyBorder="1" applyAlignment="1">
      <alignment horizontal="center"/>
    </xf>
    <xf numFmtId="0" fontId="34" fillId="28" borderId="4" xfId="0" applyFont="1" applyFill="1" applyBorder="1" applyAlignment="1">
      <alignment horizontal="center"/>
    </xf>
    <xf numFmtId="0" fontId="7" fillId="28" borderId="0" xfId="0" applyFont="1" applyFill="1" applyBorder="1" applyAlignment="1">
      <alignment horizontal="center"/>
    </xf>
    <xf numFmtId="0" fontId="7" fillId="29" borderId="2" xfId="0" applyFont="1" applyFill="1" applyBorder="1" applyAlignment="1">
      <alignment horizontal="center"/>
    </xf>
    <xf numFmtId="0" fontId="0" fillId="35" borderId="0" xfId="0" applyFill="1"/>
    <xf numFmtId="0" fontId="7" fillId="12" borderId="9" xfId="0" applyFont="1" applyFill="1" applyBorder="1" applyAlignment="1">
      <alignment horizontal="center"/>
    </xf>
    <xf numFmtId="0" fontId="0" fillId="35" borderId="2" xfId="0" applyFill="1" applyBorder="1" applyAlignment="1">
      <alignment horizontal="center"/>
    </xf>
    <xf numFmtId="0" fontId="48" fillId="3" borderId="2" xfId="0" applyFont="1" applyFill="1" applyBorder="1"/>
    <xf numFmtId="0" fontId="12" fillId="26" borderId="12" xfId="0" applyFont="1" applyFill="1" applyBorder="1"/>
    <xf numFmtId="0" fontId="12" fillId="26" borderId="2" xfId="0" applyFont="1" applyFill="1" applyBorder="1"/>
    <xf numFmtId="0" fontId="0" fillId="3" borderId="18" xfId="0" applyFill="1" applyBorder="1"/>
    <xf numFmtId="2" fontId="12" fillId="26" borderId="2" xfId="0" applyNumberFormat="1" applyFont="1" applyFill="1" applyBorder="1"/>
    <xf numFmtId="0" fontId="0" fillId="35" borderId="7" xfId="0" applyFill="1" applyBorder="1"/>
    <xf numFmtId="0" fontId="17" fillId="35" borderId="2" xfId="0" applyFont="1" applyFill="1" applyBorder="1"/>
    <xf numFmtId="0" fontId="9" fillId="35" borderId="2" xfId="0" applyFont="1" applyFill="1" applyBorder="1"/>
    <xf numFmtId="0" fontId="7" fillId="35" borderId="2" xfId="0" applyFont="1" applyFill="1" applyBorder="1" applyAlignment="1">
      <alignment horizontal="center"/>
    </xf>
    <xf numFmtId="0" fontId="17" fillId="35" borderId="2" xfId="0" applyFont="1" applyFill="1" applyBorder="1" applyAlignment="1">
      <alignment horizontal="center"/>
    </xf>
    <xf numFmtId="0" fontId="17" fillId="35" borderId="7" xfId="0" applyFont="1" applyFill="1" applyBorder="1" applyAlignment="1">
      <alignment horizontal="center"/>
    </xf>
    <xf numFmtId="0" fontId="9" fillId="35" borderId="2" xfId="0" applyFont="1" applyFill="1" applyBorder="1" applyAlignment="1">
      <alignment horizontal="center"/>
    </xf>
    <xf numFmtId="0" fontId="0" fillId="35" borderId="2" xfId="0" applyFont="1" applyFill="1" applyBorder="1" applyAlignment="1">
      <alignment horizontal="center"/>
    </xf>
    <xf numFmtId="0" fontId="7" fillId="35" borderId="7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7" borderId="14" xfId="0" applyFont="1" applyFill="1" applyBorder="1" applyAlignment="1">
      <alignment horizontal="center"/>
    </xf>
    <xf numFmtId="0" fontId="7" fillId="35" borderId="10" xfId="0" applyFont="1" applyFill="1" applyBorder="1" applyAlignment="1">
      <alignment horizontal="center"/>
    </xf>
    <xf numFmtId="0" fontId="31" fillId="30" borderId="4" xfId="0" applyFont="1" applyFill="1" applyBorder="1" applyAlignment="1">
      <alignment horizontal="left"/>
    </xf>
    <xf numFmtId="0" fontId="0" fillId="35" borderId="2" xfId="0" applyFill="1" applyBorder="1" applyAlignment="1">
      <alignment horizontal="left"/>
    </xf>
    <xf numFmtId="0" fontId="7" fillId="33" borderId="2" xfId="0" applyFont="1" applyFill="1" applyBorder="1" applyAlignment="1">
      <alignment horizontal="left"/>
    </xf>
    <xf numFmtId="0" fontId="0" fillId="26" borderId="2" xfId="0" applyFill="1" applyBorder="1"/>
    <xf numFmtId="0" fontId="0" fillId="26" borderId="13" xfId="0" applyFill="1" applyBorder="1"/>
    <xf numFmtId="0" fontId="7" fillId="26" borderId="2" xfId="0" applyFont="1" applyFill="1" applyBorder="1" applyAlignment="1">
      <alignment horizontal="right"/>
    </xf>
    <xf numFmtId="0" fontId="0" fillId="26" borderId="2" xfId="0" applyFill="1" applyBorder="1" applyAlignment="1">
      <alignment horizontal="right"/>
    </xf>
    <xf numFmtId="0" fontId="29" fillId="26" borderId="7" xfId="0" applyFont="1" applyFill="1" applyBorder="1" applyAlignment="1">
      <alignment horizontal="right"/>
    </xf>
    <xf numFmtId="0" fontId="38" fillId="26" borderId="2" xfId="0" applyFont="1" applyFill="1" applyBorder="1" applyAlignment="1">
      <alignment horizontal="right"/>
    </xf>
    <xf numFmtId="0" fontId="49" fillId="26" borderId="2" xfId="0" applyFont="1" applyFill="1" applyBorder="1"/>
    <xf numFmtId="0" fontId="38" fillId="26" borderId="2" xfId="0" applyFont="1" applyFill="1" applyBorder="1"/>
    <xf numFmtId="0" fontId="12" fillId="26" borderId="13" xfId="0" applyFont="1" applyFill="1" applyBorder="1"/>
    <xf numFmtId="0" fontId="49" fillId="26" borderId="0" xfId="0" applyFont="1" applyFill="1"/>
    <xf numFmtId="0" fontId="17" fillId="26" borderId="2" xfId="0" applyFont="1" applyFill="1" applyBorder="1" applyAlignment="1">
      <alignment horizontal="right"/>
    </xf>
    <xf numFmtId="0" fontId="12" fillId="26" borderId="11" xfId="0" applyFont="1" applyFill="1" applyBorder="1"/>
    <xf numFmtId="0" fontId="38" fillId="26" borderId="34" xfId="0" applyFont="1" applyFill="1" applyBorder="1" applyAlignment="1">
      <alignment horizontal="center"/>
    </xf>
    <xf numFmtId="0" fontId="38" fillId="26" borderId="40" xfId="0" applyFont="1" applyFill="1" applyBorder="1" applyAlignment="1">
      <alignment horizontal="center"/>
    </xf>
    <xf numFmtId="0" fontId="12" fillId="26" borderId="38" xfId="0" applyFont="1" applyFill="1" applyBorder="1" applyAlignment="1">
      <alignment horizontal="center"/>
    </xf>
    <xf numFmtId="0" fontId="12" fillId="26" borderId="39" xfId="0" applyFont="1" applyFill="1" applyBorder="1" applyAlignment="1">
      <alignment horizontal="center"/>
    </xf>
    <xf numFmtId="0" fontId="0" fillId="26" borderId="36" xfId="0" applyFill="1" applyBorder="1"/>
    <xf numFmtId="0" fontId="0" fillId="26" borderId="12" xfId="0" applyFill="1" applyBorder="1"/>
    <xf numFmtId="0" fontId="51" fillId="26" borderId="35" xfId="0" applyFont="1" applyFill="1" applyBorder="1" applyAlignment="1">
      <alignment horizontal="center"/>
    </xf>
    <xf numFmtId="0" fontId="51" fillId="26" borderId="34" xfId="0" applyFont="1" applyFill="1" applyBorder="1" applyAlignment="1">
      <alignment horizontal="center"/>
    </xf>
    <xf numFmtId="0" fontId="12" fillId="26" borderId="35" xfId="0" applyFont="1" applyFill="1" applyBorder="1" applyAlignment="1">
      <alignment horizontal="center"/>
    </xf>
    <xf numFmtId="0" fontId="38" fillId="26" borderId="31" xfId="0" applyFont="1" applyFill="1" applyBorder="1"/>
    <xf numFmtId="0" fontId="36" fillId="26" borderId="37" xfId="0" applyFont="1" applyFill="1" applyBorder="1"/>
    <xf numFmtId="0" fontId="9" fillId="26" borderId="24" xfId="0" applyFont="1" applyFill="1" applyBorder="1"/>
    <xf numFmtId="0" fontId="0" fillId="26" borderId="18" xfId="0" applyFill="1" applyBorder="1"/>
    <xf numFmtId="0" fontId="36" fillId="26" borderId="21" xfId="0" applyFont="1" applyFill="1" applyBorder="1"/>
    <xf numFmtId="0" fontId="7" fillId="26" borderId="13" xfId="0" applyFont="1" applyFill="1" applyBorder="1"/>
    <xf numFmtId="0" fontId="0" fillId="26" borderId="7" xfId="0" applyFill="1" applyBorder="1"/>
    <xf numFmtId="0" fontId="38" fillId="26" borderId="1" xfId="0" applyFont="1" applyFill="1" applyBorder="1"/>
    <xf numFmtId="0" fontId="46" fillId="26" borderId="32" xfId="0" applyFont="1" applyFill="1" applyBorder="1"/>
    <xf numFmtId="0" fontId="7" fillId="26" borderId="14" xfId="0" applyFont="1" applyFill="1" applyBorder="1"/>
    <xf numFmtId="0" fontId="46" fillId="26" borderId="1" xfId="0" applyFont="1" applyFill="1" applyBorder="1"/>
    <xf numFmtId="0" fontId="7" fillId="26" borderId="1" xfId="0" applyFont="1" applyFill="1" applyBorder="1"/>
    <xf numFmtId="0" fontId="7" fillId="26" borderId="30" xfId="0" applyFont="1" applyFill="1" applyBorder="1" applyAlignment="1">
      <alignment horizontal="center"/>
    </xf>
    <xf numFmtId="0" fontId="0" fillId="26" borderId="0" xfId="0" applyFill="1"/>
    <xf numFmtId="0" fontId="38" fillId="26" borderId="2" xfId="0" applyFont="1" applyFill="1" applyBorder="1" applyAlignment="1">
      <alignment horizontal="center"/>
    </xf>
    <xf numFmtId="0" fontId="38" fillId="26" borderId="7" xfId="0" applyFont="1" applyFill="1" applyBorder="1"/>
    <xf numFmtId="0" fontId="38" fillId="26" borderId="20" xfId="0" applyFont="1" applyFill="1" applyBorder="1"/>
    <xf numFmtId="0" fontId="0" fillId="26" borderId="18" xfId="0" applyFont="1" applyFill="1" applyBorder="1"/>
    <xf numFmtId="0" fontId="38" fillId="26" borderId="13" xfId="0" applyFont="1" applyFill="1" applyBorder="1"/>
    <xf numFmtId="0" fontId="45" fillId="26" borderId="41" xfId="0" applyFont="1" applyFill="1" applyBorder="1" applyAlignment="1">
      <alignment horizontal="center"/>
    </xf>
    <xf numFmtId="0" fontId="7" fillId="26" borderId="26" xfId="0" applyFont="1" applyFill="1" applyBorder="1" applyAlignment="1">
      <alignment horizontal="center"/>
    </xf>
    <xf numFmtId="0" fontId="38" fillId="26" borderId="42" xfId="0" applyFont="1" applyFill="1" applyBorder="1"/>
    <xf numFmtId="0" fontId="12" fillId="26" borderId="43" xfId="0" applyFont="1" applyFill="1" applyBorder="1" applyAlignment="1">
      <alignment horizontal="center"/>
    </xf>
    <xf numFmtId="17" fontId="51" fillId="26" borderId="44" xfId="0" applyNumberFormat="1" applyFont="1" applyFill="1" applyBorder="1"/>
    <xf numFmtId="0" fontId="52" fillId="26" borderId="24" xfId="0" applyFont="1" applyFill="1" applyBorder="1"/>
    <xf numFmtId="0" fontId="12" fillId="26" borderId="14" xfId="0" applyFont="1" applyFill="1" applyBorder="1"/>
    <xf numFmtId="0" fontId="50" fillId="26" borderId="2" xfId="0" applyNumberFormat="1" applyFont="1" applyFill="1" applyBorder="1"/>
    <xf numFmtId="0" fontId="0" fillId="10" borderId="9" xfId="0" applyFill="1" applyBorder="1" applyAlignment="1">
      <alignment horizontal="center"/>
    </xf>
    <xf numFmtId="0" fontId="0" fillId="10" borderId="9" xfId="0" applyFill="1" applyBorder="1"/>
    <xf numFmtId="0" fontId="7" fillId="22" borderId="13" xfId="0" applyFont="1" applyFill="1" applyBorder="1" applyAlignment="1">
      <alignment horizontal="center"/>
    </xf>
    <xf numFmtId="0" fontId="12" fillId="26" borderId="7" xfId="0" applyFont="1" applyFill="1" applyBorder="1"/>
    <xf numFmtId="0" fontId="7" fillId="16" borderId="27" xfId="0" applyFont="1" applyFill="1" applyBorder="1"/>
    <xf numFmtId="0" fontId="0" fillId="26" borderId="3" xfId="0" applyFill="1" applyBorder="1"/>
    <xf numFmtId="16" fontId="38" fillId="26" borderId="7" xfId="0" applyNumberFormat="1" applyFont="1" applyFill="1" applyBorder="1"/>
    <xf numFmtId="0" fontId="47" fillId="26" borderId="7" xfId="0" applyFont="1" applyFill="1" applyBorder="1"/>
    <xf numFmtId="0" fontId="29" fillId="26" borderId="2" xfId="0" applyFont="1" applyFill="1" applyBorder="1" applyAlignment="1">
      <alignment horizontal="center"/>
    </xf>
    <xf numFmtId="0" fontId="50" fillId="26" borderId="7" xfId="0" applyNumberFormat="1" applyFont="1" applyFill="1" applyBorder="1"/>
    <xf numFmtId="0" fontId="29" fillId="26" borderId="11" xfId="0" applyFont="1" applyFill="1" applyBorder="1" applyAlignment="1">
      <alignment horizontal="center"/>
    </xf>
    <xf numFmtId="0" fontId="29" fillId="26" borderId="12" xfId="0" applyFont="1" applyFill="1" applyBorder="1"/>
    <xf numFmtId="0" fontId="7" fillId="26" borderId="13" xfId="0" applyFont="1" applyFill="1" applyBorder="1" applyAlignment="1">
      <alignment horizontal="right"/>
    </xf>
    <xf numFmtId="0" fontId="8" fillId="26" borderId="12" xfId="0" applyFont="1" applyFill="1" applyBorder="1"/>
    <xf numFmtId="0" fontId="38" fillId="33" borderId="1" xfId="0" applyFont="1" applyFill="1" applyBorder="1"/>
    <xf numFmtId="0" fontId="7" fillId="29" borderId="4" xfId="0" applyFont="1" applyFill="1" applyBorder="1" applyAlignment="1">
      <alignment horizontal="center"/>
    </xf>
    <xf numFmtId="0" fontId="0" fillId="26" borderId="11" xfId="0" applyFill="1" applyBorder="1"/>
    <xf numFmtId="0" fontId="38" fillId="26" borderId="11" xfId="0" applyFont="1" applyFill="1" applyBorder="1"/>
    <xf numFmtId="0" fontId="17" fillId="26" borderId="2" xfId="0" applyFont="1" applyFill="1" applyBorder="1"/>
    <xf numFmtId="0" fontId="0" fillId="35" borderId="7" xfId="0" applyFont="1" applyFill="1" applyBorder="1" applyAlignment="1">
      <alignment horizontal="center"/>
    </xf>
    <xf numFmtId="0" fontId="20" fillId="7" borderId="2" xfId="0" applyFont="1" applyFill="1" applyBorder="1" applyAlignment="1">
      <alignment horizontal="center"/>
    </xf>
    <xf numFmtId="0" fontId="7" fillId="35" borderId="2" xfId="0" applyFont="1" applyFill="1" applyBorder="1" applyAlignment="1">
      <alignment horizontal="right"/>
    </xf>
    <xf numFmtId="0" fontId="50" fillId="35" borderId="2" xfId="0" applyFont="1" applyFill="1" applyBorder="1"/>
    <xf numFmtId="0" fontId="29" fillId="35" borderId="2" xfId="0" applyFont="1" applyFill="1" applyBorder="1" applyAlignment="1">
      <alignment horizontal="right"/>
    </xf>
    <xf numFmtId="0" fontId="45" fillId="35" borderId="2" xfId="0" applyFont="1" applyFill="1" applyBorder="1" applyAlignment="1">
      <alignment horizontal="center"/>
    </xf>
    <xf numFmtId="0" fontId="9" fillId="35" borderId="7" xfId="0" applyFont="1" applyFill="1" applyBorder="1"/>
    <xf numFmtId="0" fontId="17" fillId="35" borderId="0" xfId="0" applyFont="1" applyFill="1"/>
    <xf numFmtId="0" fontId="7" fillId="16" borderId="0" xfId="0" applyFont="1" applyFill="1" applyAlignment="1">
      <alignment horizontal="center"/>
    </xf>
    <xf numFmtId="0" fontId="17" fillId="35" borderId="13" xfId="0" applyFont="1" applyFill="1" applyBorder="1" applyAlignment="1">
      <alignment horizontal="center"/>
    </xf>
    <xf numFmtId="0" fontId="17" fillId="35" borderId="13" xfId="0" applyFont="1" applyFill="1" applyBorder="1"/>
    <xf numFmtId="0" fontId="17" fillId="35" borderId="22" xfId="0" applyFont="1" applyFill="1" applyBorder="1" applyAlignment="1">
      <alignment horizontal="center"/>
    </xf>
    <xf numFmtId="0" fontId="53" fillId="35" borderId="2" xfId="0" applyFont="1" applyFill="1" applyBorder="1"/>
    <xf numFmtId="0" fontId="38" fillId="35" borderId="2" xfId="0" applyFont="1" applyFill="1" applyBorder="1"/>
    <xf numFmtId="0" fontId="17" fillId="35" borderId="2" xfId="0" applyFont="1" applyFill="1" applyBorder="1" applyAlignment="1">
      <alignment horizontal="right"/>
    </xf>
    <xf numFmtId="2" fontId="53" fillId="26" borderId="2" xfId="0" applyNumberFormat="1" applyFont="1" applyFill="1" applyBorder="1"/>
    <xf numFmtId="2" fontId="53" fillId="26" borderId="2" xfId="0" applyNumberFormat="1" applyFont="1" applyFill="1" applyBorder="1" applyAlignment="1">
      <alignment horizontal="right"/>
    </xf>
    <xf numFmtId="2" fontId="17" fillId="35" borderId="2" xfId="0" applyNumberFormat="1" applyFont="1" applyFill="1" applyBorder="1" applyAlignment="1">
      <alignment horizontal="center"/>
    </xf>
    <xf numFmtId="0" fontId="49" fillId="26" borderId="14" xfId="0" applyFont="1" applyFill="1" applyBorder="1"/>
    <xf numFmtId="2" fontId="7" fillId="35" borderId="2" xfId="0" applyNumberFormat="1" applyFont="1" applyFill="1" applyBorder="1" applyAlignment="1">
      <alignment horizontal="center"/>
    </xf>
    <xf numFmtId="0" fontId="49" fillId="35" borderId="2" xfId="0" applyFont="1" applyFill="1" applyBorder="1"/>
    <xf numFmtId="0" fontId="12" fillId="35" borderId="2" xfId="0" applyFont="1" applyFill="1" applyBorder="1"/>
    <xf numFmtId="0" fontId="29" fillId="27" borderId="7" xfId="0" applyFont="1" applyFill="1" applyBorder="1" applyAlignment="1">
      <alignment horizontal="center"/>
    </xf>
    <xf numFmtId="0" fontId="17" fillId="35" borderId="13" xfId="0" applyFont="1" applyFill="1" applyBorder="1" applyAlignment="1">
      <alignment horizontal="right"/>
    </xf>
    <xf numFmtId="0" fontId="50" fillId="35" borderId="12" xfId="0" applyFont="1" applyFill="1" applyBorder="1"/>
    <xf numFmtId="0" fontId="7" fillId="4" borderId="7" xfId="0" applyFont="1" applyFill="1" applyBorder="1"/>
    <xf numFmtId="0" fontId="45" fillId="35" borderId="7" xfId="0" applyFont="1" applyFill="1" applyBorder="1" applyAlignment="1">
      <alignment horizontal="right"/>
    </xf>
    <xf numFmtId="0" fontId="45" fillId="26" borderId="7" xfId="0" applyFont="1" applyFill="1" applyBorder="1" applyAlignment="1">
      <alignment horizontal="right"/>
    </xf>
    <xf numFmtId="0" fontId="56" fillId="26" borderId="7" xfId="0" applyFont="1" applyFill="1" applyBorder="1" applyAlignment="1">
      <alignment horizontal="right"/>
    </xf>
    <xf numFmtId="0" fontId="17" fillId="26" borderId="13" xfId="0" applyFont="1" applyFill="1" applyBorder="1" applyAlignment="1">
      <alignment horizontal="right"/>
    </xf>
    <xf numFmtId="2" fontId="53" fillId="26" borderId="11" xfId="0" applyNumberFormat="1" applyFont="1" applyFill="1" applyBorder="1" applyAlignment="1">
      <alignment horizontal="right"/>
    </xf>
    <xf numFmtId="0" fontId="15" fillId="35" borderId="2" xfId="0" applyFont="1" applyFill="1" applyBorder="1"/>
    <xf numFmtId="0" fontId="0" fillId="28" borderId="0" xfId="0" applyFill="1"/>
    <xf numFmtId="0" fontId="58" fillId="35" borderId="2" xfId="0" applyFont="1" applyFill="1" applyBorder="1"/>
    <xf numFmtId="0" fontId="57" fillId="35" borderId="19" xfId="0" applyFont="1" applyFill="1" applyBorder="1"/>
    <xf numFmtId="0" fontId="57" fillId="35" borderId="2" xfId="0" applyFont="1" applyFill="1" applyBorder="1"/>
    <xf numFmtId="0" fontId="0" fillId="28" borderId="18" xfId="0" applyFill="1" applyBorder="1"/>
    <xf numFmtId="0" fontId="29" fillId="28" borderId="18" xfId="0" applyFont="1" applyFill="1" applyBorder="1"/>
    <xf numFmtId="0" fontId="7" fillId="28" borderId="2" xfId="0" applyFont="1" applyFill="1" applyBorder="1" applyAlignment="1">
      <alignment horizontal="right"/>
    </xf>
    <xf numFmtId="0" fontId="29" fillId="26" borderId="7" xfId="0" applyFont="1" applyFill="1" applyBorder="1" applyAlignment="1">
      <alignment horizontal="center"/>
    </xf>
    <xf numFmtId="0" fontId="0" fillId="26" borderId="19" xfId="0" applyFill="1" applyBorder="1"/>
    <xf numFmtId="0" fontId="7" fillId="26" borderId="23" xfId="0" applyFont="1" applyFill="1" applyBorder="1" applyAlignment="1">
      <alignment horizontal="center"/>
    </xf>
    <xf numFmtId="16" fontId="29" fillId="26" borderId="12" xfId="0" applyNumberFormat="1" applyFont="1" applyFill="1" applyBorder="1"/>
    <xf numFmtId="16" fontId="29" fillId="6" borderId="45" xfId="0" applyNumberFormat="1" applyFont="1" applyFill="1" applyBorder="1"/>
    <xf numFmtId="2" fontId="29" fillId="6" borderId="46" xfId="0" applyNumberFormat="1" applyFont="1" applyFill="1" applyBorder="1"/>
    <xf numFmtId="16" fontId="29" fillId="6" borderId="47" xfId="0" applyNumberFormat="1" applyFont="1" applyFill="1" applyBorder="1"/>
    <xf numFmtId="0" fontId="29" fillId="6" borderId="7" xfId="0" applyFont="1" applyFill="1" applyBorder="1"/>
    <xf numFmtId="0" fontId="29" fillId="6" borderId="47" xfId="0" applyFont="1" applyFill="1" applyBorder="1" applyAlignment="1">
      <alignment horizontal="right"/>
    </xf>
    <xf numFmtId="0" fontId="0" fillId="6" borderId="21" xfId="0" applyFill="1" applyBorder="1"/>
    <xf numFmtId="0" fontId="29" fillId="6" borderId="31" xfId="0" applyFont="1" applyFill="1" applyBorder="1" applyAlignment="1">
      <alignment horizontal="right"/>
    </xf>
    <xf numFmtId="0" fontId="29" fillId="6" borderId="20" xfId="0" applyFont="1" applyFill="1" applyBorder="1"/>
    <xf numFmtId="0" fontId="29" fillId="6" borderId="48" xfId="0" applyFont="1" applyFill="1" applyBorder="1" applyAlignment="1">
      <alignment horizontal="right"/>
    </xf>
    <xf numFmtId="0" fontId="29" fillId="6" borderId="49" xfId="0" applyFont="1" applyFill="1" applyBorder="1"/>
    <xf numFmtId="0" fontId="0" fillId="6" borderId="50" xfId="0" applyFill="1" applyBorder="1"/>
    <xf numFmtId="0" fontId="12" fillId="35" borderId="2" xfId="0" applyFont="1" applyFill="1" applyBorder="1" applyAlignment="1">
      <alignment horizontal="center"/>
    </xf>
    <xf numFmtId="0" fontId="12" fillId="26" borderId="2" xfId="0" applyFont="1" applyFill="1" applyBorder="1" applyAlignment="1">
      <alignment horizontal="center"/>
    </xf>
    <xf numFmtId="0" fontId="12" fillId="26" borderId="11" xfId="0" applyFont="1" applyFill="1" applyBorder="1" applyAlignment="1">
      <alignment horizontal="center"/>
    </xf>
    <xf numFmtId="0" fontId="12" fillId="26" borderId="13" xfId="0" applyFont="1" applyFill="1" applyBorder="1" applyAlignment="1">
      <alignment horizontal="center"/>
    </xf>
    <xf numFmtId="0" fontId="12" fillId="26" borderId="2" xfId="0" applyFont="1" applyFill="1" applyBorder="1" applyAlignment="1"/>
    <xf numFmtId="0" fontId="12" fillId="26" borderId="11" xfId="0" applyFont="1" applyFill="1" applyBorder="1" applyAlignment="1"/>
    <xf numFmtId="0" fontId="0" fillId="35" borderId="2" xfId="0" applyFill="1" applyBorder="1" applyAlignment="1"/>
    <xf numFmtId="0" fontId="12" fillId="26" borderId="38" xfId="0" applyFont="1" applyFill="1" applyBorder="1" applyAlignment="1"/>
    <xf numFmtId="0" fontId="60" fillId="35" borderId="11" xfId="0" applyFont="1" applyFill="1" applyBorder="1" applyAlignment="1"/>
    <xf numFmtId="0" fontId="60" fillId="35" borderId="2" xfId="0" applyFont="1" applyFill="1" applyBorder="1" applyAlignment="1"/>
    <xf numFmtId="0" fontId="12" fillId="26" borderId="0" xfId="0" applyFont="1" applyFill="1" applyAlignment="1">
      <alignment horizontal="center"/>
    </xf>
    <xf numFmtId="0" fontId="12" fillId="26" borderId="7" xfId="0" applyFont="1" applyFill="1" applyBorder="1" applyAlignment="1">
      <alignment horizontal="center"/>
    </xf>
    <xf numFmtId="0" fontId="61" fillId="35" borderId="2" xfId="0" applyFont="1" applyFill="1" applyBorder="1" applyAlignment="1">
      <alignment horizontal="center"/>
    </xf>
    <xf numFmtId="0" fontId="0" fillId="35" borderId="0" xfId="0" applyFill="1" applyAlignment="1">
      <alignment horizontal="center"/>
    </xf>
    <xf numFmtId="0" fontId="0" fillId="35" borderId="13" xfId="0" applyFill="1" applyBorder="1" applyAlignment="1">
      <alignment horizontal="center"/>
    </xf>
    <xf numFmtId="0" fontId="0" fillId="35" borderId="11" xfId="0" applyFill="1" applyBorder="1" applyAlignment="1"/>
    <xf numFmtId="0" fontId="7" fillId="35" borderId="1" xfId="0" applyFont="1" applyFill="1" applyBorder="1" applyAlignment="1"/>
    <xf numFmtId="0" fontId="0" fillId="35" borderId="7" xfId="0" applyFill="1" applyBorder="1" applyAlignment="1">
      <alignment horizontal="center"/>
    </xf>
    <xf numFmtId="0" fontId="3" fillId="35" borderId="11" xfId="0" applyFont="1" applyFill="1" applyBorder="1" applyAlignment="1"/>
    <xf numFmtId="0" fontId="32" fillId="35" borderId="2" xfId="0" applyFont="1" applyFill="1" applyBorder="1"/>
    <xf numFmtId="0" fontId="12" fillId="26" borderId="19" xfId="0" applyFont="1" applyFill="1" applyBorder="1"/>
    <xf numFmtId="0" fontId="12" fillId="35" borderId="7" xfId="0" applyFont="1" applyFill="1" applyBorder="1" applyAlignment="1">
      <alignment horizontal="right"/>
    </xf>
    <xf numFmtId="0" fontId="12" fillId="35" borderId="2" xfId="0" applyFont="1" applyFill="1" applyBorder="1" applyAlignment="1"/>
    <xf numFmtId="0" fontId="12" fillId="35" borderId="2" xfId="0" applyNumberFormat="1" applyFont="1" applyFill="1" applyBorder="1" applyAlignment="1">
      <alignment horizontal="center"/>
    </xf>
    <xf numFmtId="0" fontId="0" fillId="35" borderId="18" xfId="0" applyFont="1" applyFill="1" applyBorder="1"/>
    <xf numFmtId="0" fontId="0" fillId="35" borderId="13" xfId="0" applyFill="1" applyBorder="1"/>
    <xf numFmtId="0" fontId="0" fillId="35" borderId="12" xfId="0" applyFill="1" applyBorder="1"/>
    <xf numFmtId="0" fontId="0" fillId="35" borderId="13" xfId="0" applyFont="1" applyFill="1" applyBorder="1" applyAlignment="1">
      <alignment horizontal="center"/>
    </xf>
    <xf numFmtId="0" fontId="0" fillId="35" borderId="11" xfId="0" applyFill="1" applyBorder="1"/>
    <xf numFmtId="0" fontId="0" fillId="35" borderId="18" xfId="0" applyFill="1" applyBorder="1"/>
    <xf numFmtId="0" fontId="36" fillId="35" borderId="2" xfId="0" applyFont="1" applyFill="1" applyBorder="1"/>
    <xf numFmtId="16" fontId="0" fillId="35" borderId="2" xfId="0" applyNumberFormat="1" applyFill="1" applyBorder="1"/>
    <xf numFmtId="16" fontId="0" fillId="35" borderId="18" xfId="0" applyNumberFormat="1" applyFill="1" applyBorder="1"/>
    <xf numFmtId="0" fontId="7" fillId="35" borderId="11" xfId="0" applyFont="1" applyFill="1" applyBorder="1" applyAlignment="1">
      <alignment horizontal="right"/>
    </xf>
    <xf numFmtId="0" fontId="0" fillId="35" borderId="12" xfId="0" applyFill="1" applyBorder="1" applyAlignment="1">
      <alignment horizontal="right"/>
    </xf>
    <xf numFmtId="0" fontId="0" fillId="35" borderId="2" xfId="0" applyFill="1" applyBorder="1" applyAlignment="1">
      <alignment horizontal="right"/>
    </xf>
    <xf numFmtId="0" fontId="0" fillId="35" borderId="16" xfId="0" applyFill="1" applyBorder="1"/>
    <xf numFmtId="0" fontId="0" fillId="35" borderId="33" xfId="0" applyFill="1" applyBorder="1"/>
    <xf numFmtId="0" fontId="0" fillId="28" borderId="7" xfId="0" applyFill="1" applyBorder="1"/>
    <xf numFmtId="0" fontId="7" fillId="28" borderId="7" xfId="0" applyFont="1" applyFill="1" applyBorder="1"/>
    <xf numFmtId="0" fontId="7" fillId="28" borderId="7" xfId="0" applyFont="1" applyFill="1" applyBorder="1" applyAlignment="1">
      <alignment horizontal="right"/>
    </xf>
    <xf numFmtId="2" fontId="50" fillId="35" borderId="2" xfId="0" applyNumberFormat="1" applyFont="1" applyFill="1" applyBorder="1"/>
    <xf numFmtId="0" fontId="7" fillId="35" borderId="7" xfId="0" applyFont="1" applyFill="1" applyBorder="1"/>
    <xf numFmtId="0" fontId="10" fillId="35" borderId="7" xfId="0" applyFont="1" applyFill="1" applyBorder="1"/>
    <xf numFmtId="0" fontId="9" fillId="35" borderId="0" xfId="0" applyFont="1" applyFill="1"/>
    <xf numFmtId="0" fontId="7" fillId="35" borderId="1" xfId="0" applyFont="1" applyFill="1" applyBorder="1"/>
    <xf numFmtId="2" fontId="17" fillId="2" borderId="7" xfId="0" applyNumberFormat="1" applyFont="1" applyFill="1" applyBorder="1"/>
    <xf numFmtId="2" fontId="17" fillId="35" borderId="2" xfId="0" applyNumberFormat="1" applyFont="1" applyFill="1" applyBorder="1" applyAlignment="1">
      <alignment horizontal="right"/>
    </xf>
    <xf numFmtId="2" fontId="17" fillId="35" borderId="11" xfId="0" applyNumberFormat="1" applyFont="1" applyFill="1" applyBorder="1" applyAlignment="1">
      <alignment horizontal="right"/>
    </xf>
    <xf numFmtId="0" fontId="59" fillId="35" borderId="7" xfId="0" applyFont="1" applyFill="1" applyBorder="1" applyAlignment="1">
      <alignment horizontal="center"/>
    </xf>
    <xf numFmtId="2" fontId="17" fillId="35" borderId="7" xfId="0" applyNumberFormat="1" applyFont="1" applyFill="1" applyBorder="1" applyAlignment="1">
      <alignment horizontal="center"/>
    </xf>
    <xf numFmtId="2" fontId="17" fillId="2" borderId="18" xfId="0" applyNumberFormat="1" applyFont="1" applyFill="1" applyBorder="1" applyAlignment="1">
      <alignment horizontal="right"/>
    </xf>
    <xf numFmtId="0" fontId="17" fillId="35" borderId="27" xfId="0" applyFont="1" applyFill="1" applyBorder="1" applyAlignment="1">
      <alignment horizontal="center"/>
    </xf>
    <xf numFmtId="2" fontId="57" fillId="35" borderId="2" xfId="0" applyNumberFormat="1" applyFont="1" applyFill="1" applyBorder="1"/>
    <xf numFmtId="0" fontId="0" fillId="35" borderId="12" xfId="0" applyFont="1" applyFill="1" applyBorder="1"/>
    <xf numFmtId="0" fontId="57" fillId="35" borderId="7" xfId="0" applyFont="1" applyFill="1" applyBorder="1"/>
    <xf numFmtId="0" fontId="7" fillId="35" borderId="11" xfId="0" applyFont="1" applyFill="1" applyBorder="1"/>
    <xf numFmtId="0" fontId="9" fillId="35" borderId="12" xfId="0" applyFont="1" applyFill="1" applyBorder="1"/>
    <xf numFmtId="0" fontId="0" fillId="6" borderId="7" xfId="0" applyFill="1" applyBorder="1"/>
    <xf numFmtId="0" fontId="0" fillId="28" borderId="2" xfId="0" applyFill="1" applyBorder="1"/>
    <xf numFmtId="0" fontId="29" fillId="28" borderId="2" xfId="0" applyFont="1" applyFill="1" applyBorder="1"/>
    <xf numFmtId="2" fontId="7" fillId="28" borderId="7" xfId="0" applyNumberFormat="1" applyFont="1" applyFill="1" applyBorder="1" applyAlignment="1">
      <alignment horizontal="center"/>
    </xf>
    <xf numFmtId="0" fontId="7" fillId="28" borderId="2" xfId="0" applyFont="1" applyFill="1" applyBorder="1"/>
    <xf numFmtId="0" fontId="17" fillId="28" borderId="2" xfId="0" applyFont="1" applyFill="1" applyBorder="1" applyAlignment="1">
      <alignment horizontal="right"/>
    </xf>
    <xf numFmtId="0" fontId="0" fillId="28" borderId="20" xfId="0" applyFill="1" applyBorder="1"/>
    <xf numFmtId="0" fontId="9" fillId="28" borderId="2" xfId="0" applyFont="1" applyFill="1" applyBorder="1"/>
    <xf numFmtId="2" fontId="17" fillId="28" borderId="2" xfId="0" applyNumberFormat="1" applyFont="1" applyFill="1" applyBorder="1" applyAlignment="1">
      <alignment horizontal="right"/>
    </xf>
    <xf numFmtId="2" fontId="0" fillId="28" borderId="2" xfId="0" applyNumberFormat="1" applyFill="1" applyBorder="1"/>
    <xf numFmtId="0" fontId="9" fillId="28" borderId="18" xfId="0" applyFont="1" applyFill="1" applyBorder="1"/>
    <xf numFmtId="0" fontId="29" fillId="28" borderId="13" xfId="0" applyFont="1" applyFill="1" applyBorder="1"/>
    <xf numFmtId="0" fontId="29" fillId="28" borderId="12" xfId="0" applyFont="1" applyFill="1" applyBorder="1"/>
    <xf numFmtId="0" fontId="9" fillId="28" borderId="7" xfId="0" applyFont="1" applyFill="1" applyBorder="1"/>
    <xf numFmtId="0" fontId="29" fillId="28" borderId="2" xfId="0" applyFont="1" applyFill="1" applyBorder="1" applyAlignment="1">
      <alignment horizontal="right"/>
    </xf>
    <xf numFmtId="2" fontId="17" fillId="35" borderId="1" xfId="0" applyNumberFormat="1" applyFont="1" applyFill="1" applyBorder="1" applyAlignment="1">
      <alignment horizontal="right"/>
    </xf>
    <xf numFmtId="0" fontId="7" fillId="31" borderId="9" xfId="0" applyFont="1" applyFill="1" applyBorder="1" applyAlignment="1">
      <alignment horizontal="center"/>
    </xf>
    <xf numFmtId="2" fontId="53" fillId="26" borderId="7" xfId="0" applyNumberFormat="1" applyFont="1" applyFill="1" applyBorder="1"/>
    <xf numFmtId="0" fontId="7" fillId="27" borderId="29" xfId="0" applyFont="1" applyFill="1" applyBorder="1" applyAlignment="1">
      <alignment horizontal="center"/>
    </xf>
    <xf numFmtId="0" fontId="0" fillId="28" borderId="13" xfId="0" applyFill="1" applyBorder="1"/>
    <xf numFmtId="2" fontId="17" fillId="28" borderId="7" xfId="0" applyNumberFormat="1" applyFont="1" applyFill="1" applyBorder="1" applyAlignment="1">
      <alignment horizontal="center"/>
    </xf>
    <xf numFmtId="2" fontId="32" fillId="35" borderId="2" xfId="0" applyNumberFormat="1" applyFont="1" applyFill="1" applyBorder="1"/>
    <xf numFmtId="0" fontId="45" fillId="35" borderId="2" xfId="0" applyFont="1" applyFill="1" applyBorder="1" applyAlignment="1">
      <alignment horizontal="right"/>
    </xf>
    <xf numFmtId="2" fontId="17" fillId="35" borderId="2" xfId="0" applyNumberFormat="1" applyFont="1" applyFill="1" applyBorder="1"/>
    <xf numFmtId="0" fontId="30" fillId="35" borderId="0" xfId="0" applyFont="1" applyFill="1" applyBorder="1" applyAlignment="1">
      <alignment horizontal="left"/>
    </xf>
    <xf numFmtId="0" fontId="30" fillId="35" borderId="18" xfId="0" applyFont="1" applyFill="1" applyBorder="1" applyAlignment="1">
      <alignment horizontal="left"/>
    </xf>
    <xf numFmtId="0" fontId="7" fillId="13" borderId="29" xfId="0" applyFont="1" applyFill="1" applyBorder="1" applyAlignment="1">
      <alignment horizontal="center"/>
    </xf>
    <xf numFmtId="0" fontId="9" fillId="35" borderId="13" xfId="0" applyFont="1" applyFill="1" applyBorder="1" applyAlignment="1">
      <alignment horizontal="center"/>
    </xf>
    <xf numFmtId="0" fontId="9" fillId="21" borderId="2" xfId="0" applyFont="1" applyFill="1" applyBorder="1"/>
    <xf numFmtId="2" fontId="53" fillId="26" borderId="19" xfId="0" applyNumberFormat="1" applyFont="1" applyFill="1" applyBorder="1"/>
    <xf numFmtId="16" fontId="9" fillId="35" borderId="2" xfId="0" applyNumberFormat="1" applyFont="1" applyFill="1" applyBorder="1" applyAlignment="1">
      <alignment horizontal="center"/>
    </xf>
    <xf numFmtId="2" fontId="43" fillId="26" borderId="7" xfId="0" applyNumberFormat="1" applyFont="1" applyFill="1" applyBorder="1" applyAlignment="1">
      <alignment horizontal="right"/>
    </xf>
    <xf numFmtId="2" fontId="7" fillId="28" borderId="2" xfId="0" applyNumberFormat="1" applyFont="1" applyFill="1" applyBorder="1" applyAlignment="1">
      <alignment horizontal="right"/>
    </xf>
    <xf numFmtId="0" fontId="0" fillId="28" borderId="2" xfId="0" applyFill="1" applyBorder="1" applyAlignment="1">
      <alignment horizontal="right"/>
    </xf>
    <xf numFmtId="2" fontId="29" fillId="28" borderId="2" xfId="0" applyNumberFormat="1" applyFont="1" applyFill="1" applyBorder="1" applyAlignment="1">
      <alignment horizontal="right"/>
    </xf>
    <xf numFmtId="0" fontId="29" fillId="28" borderId="12" xfId="0" applyFont="1" applyFill="1" applyBorder="1" applyAlignment="1">
      <alignment horizontal="right"/>
    </xf>
    <xf numFmtId="0" fontId="7" fillId="35" borderId="18" xfId="0" applyFont="1" applyFill="1" applyBorder="1"/>
    <xf numFmtId="2" fontId="50" fillId="35" borderId="7" xfId="0" applyNumberFormat="1" applyFont="1" applyFill="1" applyBorder="1"/>
    <xf numFmtId="2" fontId="0" fillId="35" borderId="7" xfId="0" applyNumberFormat="1" applyFill="1" applyBorder="1"/>
    <xf numFmtId="2" fontId="53" fillId="35" borderId="7" xfId="0" applyNumberFormat="1" applyFont="1" applyFill="1" applyBorder="1" applyAlignment="1">
      <alignment horizontal="right"/>
    </xf>
    <xf numFmtId="0" fontId="0" fillId="35" borderId="24" xfId="0" applyFill="1" applyBorder="1"/>
    <xf numFmtId="0" fontId="0" fillId="28" borderId="19" xfId="0" applyFill="1" applyBorder="1"/>
    <xf numFmtId="2" fontId="53" fillId="28" borderId="12" xfId="0" applyNumberFormat="1" applyFont="1" applyFill="1" applyBorder="1" applyAlignment="1">
      <alignment horizontal="right"/>
    </xf>
    <xf numFmtId="0" fontId="7" fillId="28" borderId="1" xfId="0" applyFont="1" applyFill="1" applyBorder="1"/>
    <xf numFmtId="2" fontId="17" fillId="6" borderId="7" xfId="0" applyNumberFormat="1" applyFont="1" applyFill="1" applyBorder="1"/>
    <xf numFmtId="2" fontId="9" fillId="8" borderId="1" xfId="0" applyNumberFormat="1" applyFont="1" applyFill="1" applyBorder="1"/>
    <xf numFmtId="2" fontId="17" fillId="8" borderId="7" xfId="0" applyNumberFormat="1" applyFont="1" applyFill="1" applyBorder="1"/>
    <xf numFmtId="2" fontId="17" fillId="8" borderId="18" xfId="0" applyNumberFormat="1" applyFont="1" applyFill="1" applyBorder="1" applyAlignment="1">
      <alignment horizontal="right"/>
    </xf>
    <xf numFmtId="2" fontId="0" fillId="8" borderId="19" xfId="0" applyNumberFormat="1" applyFill="1" applyBorder="1"/>
    <xf numFmtId="0" fontId="17" fillId="8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361950</xdr:colOff>
      <xdr:row>6</xdr:row>
      <xdr:rowOff>142875</xdr:rowOff>
    </xdr:from>
    <xdr:ext cx="184731" cy="264560"/>
    <xdr:sp macro="" textlink="">
      <xdr:nvSpPr>
        <xdr:cNvPr id="3" name="2 CuadroTexto"/>
        <xdr:cNvSpPr txBox="1"/>
      </xdr:nvSpPr>
      <xdr:spPr>
        <a:xfrm>
          <a:off x="1819275" y="1104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28575</xdr:colOff>
      <xdr:row>5</xdr:row>
      <xdr:rowOff>152400</xdr:rowOff>
    </xdr:from>
    <xdr:ext cx="1257300" cy="436010"/>
    <xdr:sp macro="" textlink="">
      <xdr:nvSpPr>
        <xdr:cNvPr id="4" name="3 CuadroTexto"/>
        <xdr:cNvSpPr txBox="1"/>
      </xdr:nvSpPr>
      <xdr:spPr>
        <a:xfrm>
          <a:off x="1485900" y="923925"/>
          <a:ext cx="1257300" cy="436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0</xdr:colOff>
      <xdr:row>5</xdr:row>
      <xdr:rowOff>133350</xdr:rowOff>
    </xdr:from>
    <xdr:ext cx="1266825" cy="436786"/>
    <xdr:sp macro="" textlink="">
      <xdr:nvSpPr>
        <xdr:cNvPr id="5" name="4 Rectángulo"/>
        <xdr:cNvSpPr/>
      </xdr:nvSpPr>
      <xdr:spPr>
        <a:xfrm>
          <a:off x="1457325" y="904875"/>
          <a:ext cx="1266825" cy="436786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es-ES" sz="1100" b="1" cap="all" spc="0">
              <a:ln/>
              <a:solidFill>
                <a:schemeClr val="accent5">
                  <a:lumMod val="50000"/>
                </a:schemeClr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rPr>
            <a:t>Gastos Financieros</a:t>
          </a:r>
        </a:p>
      </xdr:txBody>
    </xdr:sp>
    <xdr:clientData/>
  </xdr:oneCellAnchor>
  <xdr:oneCellAnchor>
    <xdr:from>
      <xdr:col>1</xdr:col>
      <xdr:colOff>9525</xdr:colOff>
      <xdr:row>0</xdr:row>
      <xdr:rowOff>0</xdr:rowOff>
    </xdr:from>
    <xdr:ext cx="1266825" cy="264560"/>
    <xdr:sp macro="" textlink="">
      <xdr:nvSpPr>
        <xdr:cNvPr id="9" name="8 Rectángulo"/>
        <xdr:cNvSpPr/>
      </xdr:nvSpPr>
      <xdr:spPr>
        <a:xfrm>
          <a:off x="1466850" y="0"/>
          <a:ext cx="1266825" cy="264560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es-ES" sz="1100" b="1" cap="all" spc="0">
              <a:ln/>
              <a:solidFill>
                <a:schemeClr val="accent5">
                  <a:lumMod val="50000"/>
                </a:schemeClr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rPr>
            <a:t>SErvicios</a:t>
          </a:r>
        </a:p>
      </xdr:txBody>
    </xdr:sp>
    <xdr:clientData/>
  </xdr:oneCellAnchor>
  <xdr:oneCellAnchor>
    <xdr:from>
      <xdr:col>7</xdr:col>
      <xdr:colOff>19050</xdr:colOff>
      <xdr:row>0</xdr:row>
      <xdr:rowOff>0</xdr:rowOff>
    </xdr:from>
    <xdr:ext cx="1266825" cy="264560"/>
    <xdr:sp macro="" textlink="">
      <xdr:nvSpPr>
        <xdr:cNvPr id="12" name="11 Rectángulo"/>
        <xdr:cNvSpPr/>
      </xdr:nvSpPr>
      <xdr:spPr>
        <a:xfrm>
          <a:off x="9248775" y="0"/>
          <a:ext cx="1266825" cy="264560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es-ES" sz="1100" b="1" cap="all" spc="0">
              <a:ln/>
              <a:solidFill>
                <a:schemeClr val="accent5">
                  <a:lumMod val="50000"/>
                </a:schemeClr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rPr>
            <a:t>Impuestos</a:t>
          </a:r>
        </a:p>
      </xdr:txBody>
    </xdr:sp>
    <xdr:clientData/>
  </xdr:oneCellAnchor>
  <xdr:oneCellAnchor>
    <xdr:from>
      <xdr:col>0</xdr:col>
      <xdr:colOff>923926</xdr:colOff>
      <xdr:row>0</xdr:row>
      <xdr:rowOff>9525</xdr:rowOff>
    </xdr:from>
    <xdr:ext cx="1333500" cy="274085"/>
    <xdr:sp macro="" textlink="">
      <xdr:nvSpPr>
        <xdr:cNvPr id="15" name="14 Rectángulo"/>
        <xdr:cNvSpPr/>
      </xdr:nvSpPr>
      <xdr:spPr>
        <a:xfrm>
          <a:off x="923926" y="9525"/>
          <a:ext cx="1333500" cy="274085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endParaRPr lang="es-ES" sz="1100" b="1" cap="all" spc="0">
            <a:ln/>
            <a:solidFill>
              <a:schemeClr val="accent5">
                <a:lumMod val="50000"/>
              </a:schemeClr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oneCellAnchor>
  <xdr:oneCellAnchor>
    <xdr:from>
      <xdr:col>0</xdr:col>
      <xdr:colOff>1447800</xdr:colOff>
      <xdr:row>19</xdr:row>
      <xdr:rowOff>123825</xdr:rowOff>
    </xdr:from>
    <xdr:ext cx="1266825" cy="264560"/>
    <xdr:sp macro="" textlink="">
      <xdr:nvSpPr>
        <xdr:cNvPr id="18" name="17 Rectángulo"/>
        <xdr:cNvSpPr/>
      </xdr:nvSpPr>
      <xdr:spPr>
        <a:xfrm>
          <a:off x="1447800" y="2057400"/>
          <a:ext cx="1266825" cy="264560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es-ES" sz="1100" b="1" cap="all" spc="0">
              <a:ln/>
              <a:solidFill>
                <a:schemeClr val="accent5">
                  <a:lumMod val="50000"/>
                </a:schemeClr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rPr>
            <a:t>Otros</a:t>
          </a:r>
        </a:p>
      </xdr:txBody>
    </xdr:sp>
    <xdr:clientData/>
  </xdr:oneCellAnchor>
  <xdr:twoCellAnchor>
    <xdr:from>
      <xdr:col>1</xdr:col>
      <xdr:colOff>1019174</xdr:colOff>
      <xdr:row>0</xdr:row>
      <xdr:rowOff>114299</xdr:rowOff>
    </xdr:from>
    <xdr:to>
      <xdr:col>1</xdr:col>
      <xdr:colOff>1228725</xdr:colOff>
      <xdr:row>0</xdr:row>
      <xdr:rowOff>160018</xdr:rowOff>
    </xdr:to>
    <xdr:sp macro="" textlink="">
      <xdr:nvSpPr>
        <xdr:cNvPr id="6" name="5 Flecha derecha"/>
        <xdr:cNvSpPr/>
      </xdr:nvSpPr>
      <xdr:spPr>
        <a:xfrm>
          <a:off x="2476499" y="114299"/>
          <a:ext cx="209551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1019175</xdr:colOff>
      <xdr:row>6</xdr:row>
      <xdr:rowOff>76200</xdr:rowOff>
    </xdr:from>
    <xdr:to>
      <xdr:col>1</xdr:col>
      <xdr:colOff>1228726</xdr:colOff>
      <xdr:row>6</xdr:row>
      <xdr:rowOff>121919</xdr:rowOff>
    </xdr:to>
    <xdr:sp macro="" textlink="">
      <xdr:nvSpPr>
        <xdr:cNvPr id="20" name="19 Flecha derecha"/>
        <xdr:cNvSpPr/>
      </xdr:nvSpPr>
      <xdr:spPr>
        <a:xfrm>
          <a:off x="2476500" y="1038225"/>
          <a:ext cx="209551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1038225</xdr:colOff>
      <xdr:row>20</xdr:row>
      <xdr:rowOff>76200</xdr:rowOff>
    </xdr:from>
    <xdr:to>
      <xdr:col>1</xdr:col>
      <xdr:colOff>1247776</xdr:colOff>
      <xdr:row>20</xdr:row>
      <xdr:rowOff>121919</xdr:rowOff>
    </xdr:to>
    <xdr:sp macro="" textlink="">
      <xdr:nvSpPr>
        <xdr:cNvPr id="22" name="21 Flecha derecha"/>
        <xdr:cNvSpPr/>
      </xdr:nvSpPr>
      <xdr:spPr>
        <a:xfrm>
          <a:off x="2495550" y="2200275"/>
          <a:ext cx="209551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1057276</xdr:colOff>
      <xdr:row>0</xdr:row>
      <xdr:rowOff>95250</xdr:rowOff>
    </xdr:from>
    <xdr:to>
      <xdr:col>7</xdr:col>
      <xdr:colOff>1171576</xdr:colOff>
      <xdr:row>0</xdr:row>
      <xdr:rowOff>140969</xdr:rowOff>
    </xdr:to>
    <xdr:sp macro="" textlink="">
      <xdr:nvSpPr>
        <xdr:cNvPr id="24" name="23 Flecha derecha"/>
        <xdr:cNvSpPr/>
      </xdr:nvSpPr>
      <xdr:spPr>
        <a:xfrm>
          <a:off x="10287001" y="95250"/>
          <a:ext cx="11430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oneCellAnchor>
    <xdr:from>
      <xdr:col>7</xdr:col>
      <xdr:colOff>19050</xdr:colOff>
      <xdr:row>1</xdr:row>
      <xdr:rowOff>0</xdr:rowOff>
    </xdr:from>
    <xdr:ext cx="1266825" cy="264560"/>
    <xdr:sp macro="" textlink="">
      <xdr:nvSpPr>
        <xdr:cNvPr id="16" name="15 Rectángulo"/>
        <xdr:cNvSpPr/>
      </xdr:nvSpPr>
      <xdr:spPr>
        <a:xfrm>
          <a:off x="7172325" y="200025"/>
          <a:ext cx="1266825" cy="264560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es-ES" sz="1100" b="1" cap="all" spc="0">
              <a:ln/>
              <a:solidFill>
                <a:schemeClr val="accent5">
                  <a:lumMod val="50000"/>
                </a:schemeClr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rPr>
            <a:t>Impuestos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9</xdr:row>
      <xdr:rowOff>171450</xdr:rowOff>
    </xdr:from>
    <xdr:to>
      <xdr:col>12</xdr:col>
      <xdr:colOff>590550</xdr:colOff>
      <xdr:row>11</xdr:row>
      <xdr:rowOff>76200</xdr:rowOff>
    </xdr:to>
    <xdr:sp macro="" textlink="">
      <xdr:nvSpPr>
        <xdr:cNvPr id="2" name="Right Arrow 1"/>
        <xdr:cNvSpPr/>
      </xdr:nvSpPr>
      <xdr:spPr>
        <a:xfrm>
          <a:off x="8105775" y="1933575"/>
          <a:ext cx="514350" cy="2952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157372</xdr:colOff>
      <xdr:row>12</xdr:row>
      <xdr:rowOff>57979</xdr:rowOff>
    </xdr:from>
    <xdr:to>
      <xdr:col>4</xdr:col>
      <xdr:colOff>223631</xdr:colOff>
      <xdr:row>16</xdr:row>
      <xdr:rowOff>91109</xdr:rowOff>
    </xdr:to>
    <xdr:cxnSp macro="">
      <xdr:nvCxnSpPr>
        <xdr:cNvPr id="4" name="3 Conector angular"/>
        <xdr:cNvCxnSpPr/>
      </xdr:nvCxnSpPr>
      <xdr:spPr>
        <a:xfrm rot="5400000">
          <a:off x="4621698" y="2791240"/>
          <a:ext cx="828260" cy="66259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72"/>
  <sheetViews>
    <sheetView tabSelected="1" topLeftCell="D28" zoomScale="89" zoomScaleNormal="89" workbookViewId="0">
      <selection activeCell="K43" sqref="K43"/>
    </sheetView>
  </sheetViews>
  <sheetFormatPr baseColWidth="10" defaultColWidth="9.140625" defaultRowHeight="15" x14ac:dyDescent="0.25"/>
  <cols>
    <col min="1" max="1" width="14" style="1" customWidth="1"/>
    <col min="2" max="2" width="17.28515625" customWidth="1"/>
    <col min="3" max="3" width="13.140625" customWidth="1"/>
    <col min="4" max="4" width="17.7109375" customWidth="1"/>
    <col min="5" max="6" width="14.5703125" customWidth="1"/>
    <col min="7" max="7" width="16" customWidth="1"/>
    <col min="8" max="8" width="17.85546875" customWidth="1"/>
    <col min="9" max="9" width="14.85546875" customWidth="1"/>
    <col min="10" max="10" width="14.7109375" customWidth="1"/>
    <col min="11" max="11" width="13.42578125" customWidth="1"/>
    <col min="12" max="12" width="17.5703125" customWidth="1"/>
    <col min="13" max="13" width="17" customWidth="1"/>
    <col min="14" max="14" width="17.28515625" customWidth="1"/>
    <col min="15" max="15" width="10" bestFit="1" customWidth="1"/>
    <col min="16" max="16" width="12" bestFit="1" customWidth="1"/>
  </cols>
  <sheetData>
    <row r="1" spans="1:17" ht="15.75" x14ac:dyDescent="0.25">
      <c r="A1" s="293" t="s">
        <v>185</v>
      </c>
      <c r="B1" s="295"/>
      <c r="C1" s="361" t="s">
        <v>1</v>
      </c>
      <c r="D1" s="265" t="s">
        <v>2</v>
      </c>
      <c r="E1" s="265" t="s">
        <v>3</v>
      </c>
      <c r="F1" s="265" t="s">
        <v>181</v>
      </c>
      <c r="G1" s="266" t="s">
        <v>55</v>
      </c>
      <c r="H1" s="272"/>
      <c r="I1" s="346" t="s">
        <v>6</v>
      </c>
      <c r="J1" s="347" t="s">
        <v>30</v>
      </c>
      <c r="K1" s="373" t="s">
        <v>193</v>
      </c>
      <c r="L1" s="350"/>
      <c r="M1" s="448"/>
      <c r="N1" s="269"/>
      <c r="O1" s="50"/>
      <c r="P1" s="50"/>
      <c r="Q1" s="50"/>
    </row>
    <row r="2" spans="1:17" x14ac:dyDescent="0.25">
      <c r="A2" s="286"/>
      <c r="B2" s="296"/>
      <c r="C2" s="371"/>
      <c r="D2" s="367"/>
      <c r="E2" s="284"/>
      <c r="F2" s="372"/>
      <c r="G2" s="198"/>
      <c r="H2" s="269"/>
      <c r="I2" s="268"/>
      <c r="J2" s="365"/>
      <c r="K2" s="325"/>
      <c r="L2" s="380"/>
      <c r="M2" s="513"/>
      <c r="N2" s="269"/>
      <c r="O2" s="50"/>
      <c r="P2" s="50"/>
      <c r="Q2" s="50"/>
    </row>
    <row r="3" spans="1:17" x14ac:dyDescent="0.25">
      <c r="A3" s="286"/>
      <c r="B3" s="296"/>
      <c r="C3" s="284"/>
      <c r="D3" s="198"/>
      <c r="E3" s="198"/>
      <c r="F3" s="285"/>
      <c r="G3" s="269"/>
      <c r="H3" s="269"/>
      <c r="I3" s="198"/>
      <c r="J3" s="283"/>
      <c r="K3" s="325"/>
      <c r="L3" s="381"/>
      <c r="M3" s="448"/>
      <c r="N3" s="269"/>
      <c r="O3" s="50"/>
      <c r="P3" s="50"/>
      <c r="Q3" s="50"/>
    </row>
    <row r="4" spans="1:17" s="1" customFormat="1" ht="18.75" x14ac:dyDescent="0.3">
      <c r="A4" s="370" t="s">
        <v>41</v>
      </c>
      <c r="B4" s="269"/>
      <c r="C4" s="150">
        <v>37728</v>
      </c>
      <c r="D4" s="150">
        <v>24360</v>
      </c>
      <c r="E4" s="284">
        <v>9568</v>
      </c>
      <c r="F4" s="150">
        <v>25000</v>
      </c>
      <c r="G4" s="269"/>
      <c r="H4" s="269"/>
      <c r="I4" s="284">
        <v>12165</v>
      </c>
      <c r="J4" s="461"/>
      <c r="K4" s="325"/>
      <c r="L4" s="380"/>
      <c r="M4" s="448"/>
      <c r="N4" s="269"/>
      <c r="O4" s="50"/>
      <c r="P4" s="50"/>
      <c r="Q4" s="50"/>
    </row>
    <row r="5" spans="1:17" x14ac:dyDescent="0.25">
      <c r="A5" s="286"/>
      <c r="B5" s="296"/>
      <c r="C5" s="284"/>
      <c r="D5" s="284"/>
      <c r="E5" s="284"/>
      <c r="F5" s="284"/>
      <c r="G5" s="269"/>
      <c r="H5" s="269"/>
      <c r="I5" s="284"/>
      <c r="J5" s="269"/>
      <c r="K5" s="283"/>
      <c r="L5" s="395"/>
      <c r="M5" s="401"/>
      <c r="N5" s="478"/>
      <c r="O5" s="50"/>
      <c r="P5" s="50"/>
      <c r="Q5" s="50"/>
    </row>
    <row r="6" spans="1:17" ht="15.75" thickBot="1" x14ac:dyDescent="0.3">
      <c r="A6" s="269"/>
      <c r="B6" s="269"/>
      <c r="C6" s="269"/>
      <c r="D6" s="269"/>
      <c r="E6" s="269"/>
      <c r="F6" s="269"/>
      <c r="G6" s="269"/>
      <c r="H6" s="269"/>
      <c r="I6" s="269"/>
      <c r="J6" s="269"/>
      <c r="K6" s="283"/>
      <c r="L6" s="460"/>
      <c r="M6" s="518"/>
      <c r="N6" s="478"/>
      <c r="O6" s="50"/>
      <c r="P6" s="50"/>
      <c r="Q6" s="50"/>
    </row>
    <row r="7" spans="1:17" s="1" customFormat="1" ht="16.5" thickBot="1" x14ac:dyDescent="0.3">
      <c r="A7" s="286"/>
      <c r="B7" s="501"/>
      <c r="C7" s="505" t="s">
        <v>191</v>
      </c>
      <c r="D7" s="503" t="s">
        <v>190</v>
      </c>
      <c r="E7" s="262" t="s">
        <v>189</v>
      </c>
      <c r="F7" s="263" t="s">
        <v>50</v>
      </c>
      <c r="G7" s="493" t="s">
        <v>32</v>
      </c>
      <c r="H7" s="264" t="s">
        <v>207</v>
      </c>
      <c r="I7" s="495" t="s">
        <v>205</v>
      </c>
      <c r="J7" s="273" t="s">
        <v>206</v>
      </c>
      <c r="K7" s="276" t="s">
        <v>150</v>
      </c>
      <c r="L7" s="390" t="s">
        <v>184</v>
      </c>
      <c r="M7" s="520" t="s">
        <v>204</v>
      </c>
      <c r="N7" s="496"/>
      <c r="O7" s="50"/>
      <c r="P7" s="50"/>
      <c r="Q7" s="50"/>
    </row>
    <row r="8" spans="1:17" ht="15.75" x14ac:dyDescent="0.25">
      <c r="A8" s="294"/>
      <c r="B8" s="502"/>
      <c r="C8" s="478"/>
      <c r="D8" s="504"/>
      <c r="E8" s="286"/>
      <c r="F8" s="367"/>
      <c r="G8" s="494">
        <v>99773.25</v>
      </c>
      <c r="H8" s="507">
        <v>46193</v>
      </c>
      <c r="I8" s="496"/>
      <c r="J8" s="286"/>
      <c r="K8" s="291"/>
      <c r="L8" s="283"/>
      <c r="M8" s="519"/>
      <c r="N8" s="478"/>
      <c r="O8" s="50"/>
      <c r="P8" s="50"/>
      <c r="Q8" s="50"/>
    </row>
    <row r="9" spans="1:17" ht="18.75" x14ac:dyDescent="0.3">
      <c r="A9" s="286"/>
      <c r="B9" s="499">
        <v>1</v>
      </c>
      <c r="C9" s="500"/>
      <c r="D9" s="376"/>
      <c r="E9" s="287"/>
      <c r="F9" s="466"/>
      <c r="G9" s="508">
        <v>66924</v>
      </c>
      <c r="H9" s="507">
        <v>46210</v>
      </c>
      <c r="I9" s="496"/>
      <c r="J9" s="287"/>
      <c r="K9" s="288"/>
      <c r="L9" s="283"/>
      <c r="M9" s="486"/>
      <c r="N9" s="478"/>
      <c r="O9" s="50"/>
      <c r="P9" s="50"/>
      <c r="Q9" s="50"/>
    </row>
    <row r="10" spans="1:17" ht="19.5" thickBot="1" x14ac:dyDescent="0.35">
      <c r="A10" s="286"/>
      <c r="B10" s="499">
        <v>2</v>
      </c>
      <c r="C10" s="438"/>
      <c r="D10" s="374"/>
      <c r="E10" s="289"/>
      <c r="F10" s="467"/>
      <c r="G10" s="506">
        <v>235158.78</v>
      </c>
      <c r="H10" s="507">
        <v>46193</v>
      </c>
      <c r="I10" s="496"/>
      <c r="J10" s="287"/>
      <c r="K10" s="397"/>
      <c r="L10" s="465">
        <v>69853</v>
      </c>
      <c r="M10" s="478"/>
      <c r="N10" s="478"/>
      <c r="O10" s="50"/>
      <c r="P10" s="50"/>
      <c r="Q10" s="50"/>
    </row>
    <row r="11" spans="1:17" ht="19.5" thickBot="1" x14ac:dyDescent="0.35">
      <c r="A11" s="286"/>
      <c r="B11" s="391">
        <v>3</v>
      </c>
      <c r="C11" s="498"/>
      <c r="D11" s="375">
        <v>446458</v>
      </c>
      <c r="E11" s="468">
        <v>500</v>
      </c>
      <c r="F11" s="492" t="s">
        <v>208</v>
      </c>
      <c r="G11" s="522">
        <f>SUM(G8:G10)</f>
        <v>401856.03</v>
      </c>
      <c r="H11" s="374"/>
      <c r="I11" s="496"/>
      <c r="J11" s="469">
        <v>98858</v>
      </c>
      <c r="K11" s="471">
        <v>52966</v>
      </c>
      <c r="L11" s="470">
        <v>13840</v>
      </c>
      <c r="M11" s="150">
        <v>122867</v>
      </c>
      <c r="N11" s="478"/>
      <c r="O11" s="50"/>
      <c r="P11" s="50"/>
      <c r="Q11" s="50"/>
    </row>
    <row r="12" spans="1:17" ht="18.75" x14ac:dyDescent="0.3">
      <c r="A12" s="271"/>
      <c r="B12" s="392">
        <v>4</v>
      </c>
      <c r="C12" s="284"/>
      <c r="D12" s="379"/>
      <c r="E12" s="287"/>
      <c r="F12" s="275"/>
      <c r="G12" s="523"/>
      <c r="H12" s="478"/>
      <c r="I12" s="497"/>
      <c r="J12" s="478"/>
      <c r="K12" s="401"/>
      <c r="L12" s="483"/>
      <c r="M12" s="514"/>
      <c r="N12" s="269"/>
      <c r="O12" s="50"/>
      <c r="P12" s="50"/>
      <c r="Q12" s="50"/>
    </row>
    <row r="13" spans="1:17" s="1" customFormat="1" ht="18.75" x14ac:dyDescent="0.3">
      <c r="A13" s="268"/>
      <c r="B13" s="393">
        <v>5</v>
      </c>
      <c r="C13" s="396"/>
      <c r="D13" s="388"/>
      <c r="E13" s="275"/>
      <c r="F13" s="382"/>
      <c r="G13" s="524"/>
      <c r="H13" s="401"/>
      <c r="I13" s="480"/>
      <c r="J13" s="403"/>
      <c r="K13" s="401"/>
      <c r="L13" s="457"/>
      <c r="M13" s="283"/>
      <c r="N13" s="269"/>
      <c r="O13" s="50"/>
      <c r="P13" s="50"/>
      <c r="Q13" s="50"/>
    </row>
    <row r="14" spans="1:17" s="1" customFormat="1" ht="15.75" thickBot="1" x14ac:dyDescent="0.3">
      <c r="A14" s="268"/>
      <c r="B14" s="302"/>
      <c r="C14" s="389"/>
      <c r="D14" s="394"/>
      <c r="E14" s="405"/>
      <c r="F14" s="406"/>
      <c r="G14" s="525"/>
      <c r="H14" s="478"/>
      <c r="I14" s="509"/>
      <c r="J14" s="481"/>
      <c r="K14" s="484"/>
      <c r="L14" s="458"/>
      <c r="M14" s="515"/>
      <c r="N14" s="269"/>
      <c r="O14" s="50"/>
      <c r="P14" s="50"/>
      <c r="Q14" s="50"/>
    </row>
    <row r="15" spans="1:17" x14ac:dyDescent="0.25">
      <c r="A15" s="268"/>
      <c r="B15" s="302"/>
      <c r="C15" s="377"/>
      <c r="D15" s="322"/>
      <c r="E15" s="408" t="s">
        <v>195</v>
      </c>
      <c r="F15" s="409">
        <v>200000</v>
      </c>
      <c r="G15" s="526"/>
      <c r="H15" s="482"/>
      <c r="I15" s="403"/>
      <c r="J15" s="478"/>
      <c r="K15" s="485"/>
      <c r="L15" s="458"/>
      <c r="M15" s="516"/>
      <c r="N15" s="269"/>
      <c r="O15" s="50"/>
      <c r="P15" s="50"/>
      <c r="Q15" s="50"/>
    </row>
    <row r="16" spans="1:17" x14ac:dyDescent="0.25">
      <c r="A16" s="269"/>
      <c r="B16" s="283"/>
      <c r="C16" s="378"/>
      <c r="D16" s="322"/>
      <c r="E16" s="410"/>
      <c r="F16" s="411"/>
      <c r="G16" s="521"/>
      <c r="H16" s="478"/>
      <c r="I16" s="510"/>
      <c r="J16" s="478"/>
      <c r="K16" s="486"/>
      <c r="L16" s="458"/>
      <c r="M16" s="283"/>
      <c r="N16" s="198"/>
      <c r="O16" s="50"/>
      <c r="P16" s="50"/>
      <c r="Q16" s="50"/>
    </row>
    <row r="17" spans="1:17" x14ac:dyDescent="0.25">
      <c r="A17" s="269"/>
      <c r="B17" s="283"/>
      <c r="C17" s="269"/>
      <c r="D17" s="322"/>
      <c r="E17" s="412"/>
      <c r="F17" s="411"/>
      <c r="G17" s="477"/>
      <c r="H17" s="479"/>
      <c r="I17" s="511"/>
      <c r="J17" s="479"/>
      <c r="K17" s="484"/>
      <c r="L17" s="458"/>
      <c r="M17" s="461"/>
      <c r="N17" s="269"/>
      <c r="O17" s="50"/>
      <c r="P17" s="50"/>
      <c r="Q17" s="50"/>
    </row>
    <row r="18" spans="1:17" x14ac:dyDescent="0.25">
      <c r="A18" s="367"/>
      <c r="B18" s="369"/>
      <c r="C18" s="368"/>
      <c r="D18" s="325"/>
      <c r="E18" s="414"/>
      <c r="F18" s="415"/>
      <c r="G18" s="413"/>
      <c r="H18" s="402"/>
      <c r="I18" s="491"/>
      <c r="J18" s="479"/>
      <c r="K18" s="487"/>
      <c r="L18" s="458"/>
      <c r="M18" s="461"/>
      <c r="N18" s="269"/>
      <c r="O18" s="50"/>
      <c r="P18" s="50"/>
      <c r="Q18" s="50"/>
    </row>
    <row r="19" spans="1:17" ht="15.75" thickBot="1" x14ac:dyDescent="0.3">
      <c r="A19" s="301"/>
      <c r="B19" s="302"/>
      <c r="C19" s="355"/>
      <c r="D19" s="404"/>
      <c r="E19" s="416"/>
      <c r="F19" s="417"/>
      <c r="G19" s="418"/>
      <c r="H19" s="488"/>
      <c r="I19" s="512"/>
      <c r="J19" s="489"/>
      <c r="K19" s="490"/>
      <c r="L19" s="458"/>
      <c r="M19" s="461"/>
      <c r="N19" s="269"/>
      <c r="O19" s="50"/>
      <c r="P19" s="50"/>
      <c r="Q19" s="50"/>
    </row>
    <row r="20" spans="1:17" x14ac:dyDescent="0.25">
      <c r="A20" s="300"/>
      <c r="B20" s="302"/>
      <c r="C20" s="345"/>
      <c r="D20" s="357"/>
      <c r="E20" s="407"/>
      <c r="F20" s="357"/>
      <c r="G20" s="332"/>
      <c r="H20" s="491"/>
      <c r="I20" s="491"/>
      <c r="J20" s="479"/>
      <c r="K20" s="490"/>
      <c r="L20" s="458"/>
      <c r="M20" s="283"/>
      <c r="N20" s="269"/>
      <c r="O20" s="50"/>
      <c r="P20" s="50"/>
      <c r="Q20" s="50"/>
    </row>
    <row r="21" spans="1:17" ht="15.75" thickBot="1" x14ac:dyDescent="0.3">
      <c r="A21" s="301"/>
      <c r="B21" s="297"/>
      <c r="C21" s="366" t="s">
        <v>8</v>
      </c>
      <c r="D21" s="387" t="s">
        <v>54</v>
      </c>
      <c r="E21" s="270" t="s">
        <v>192</v>
      </c>
      <c r="F21" s="274" t="s">
        <v>177</v>
      </c>
      <c r="G21" s="264" t="s">
        <v>58</v>
      </c>
      <c r="H21" s="348" t="s">
        <v>80</v>
      </c>
      <c r="I21" s="267" t="s">
        <v>55</v>
      </c>
      <c r="J21" s="292" t="s">
        <v>171</v>
      </c>
      <c r="K21" s="462"/>
      <c r="L21" s="459"/>
      <c r="M21" s="447">
        <v>893484.19</v>
      </c>
      <c r="N21" s="517"/>
    </row>
    <row r="22" spans="1:17" ht="15.75" thickBot="1" x14ac:dyDescent="0.3">
      <c r="A22" s="286"/>
      <c r="B22" s="303"/>
      <c r="C22" s="304"/>
      <c r="D22" s="377">
        <v>15000</v>
      </c>
      <c r="E22" s="280"/>
      <c r="F22" s="280"/>
      <c r="G22" s="364"/>
      <c r="H22" s="364">
        <v>59159</v>
      </c>
      <c r="I22" s="280"/>
      <c r="J22" s="280"/>
      <c r="K22" s="463"/>
      <c r="L22" s="459"/>
      <c r="M22" s="464">
        <f>SUM(M17:M21)</f>
        <v>893484.19</v>
      </c>
      <c r="N22" s="444"/>
    </row>
    <row r="23" spans="1:17" x14ac:dyDescent="0.25">
      <c r="A23" s="298"/>
      <c r="B23" s="303"/>
      <c r="C23" s="304"/>
      <c r="D23" s="372"/>
      <c r="E23" s="282"/>
      <c r="F23" s="280"/>
      <c r="G23" s="280"/>
      <c r="H23" s="280"/>
      <c r="I23" s="280"/>
      <c r="J23" s="420"/>
      <c r="K23" s="371"/>
      <c r="L23" s="459"/>
      <c r="M23" s="445"/>
      <c r="N23" s="444"/>
    </row>
    <row r="24" spans="1:17" x14ac:dyDescent="0.25">
      <c r="A24" s="298"/>
      <c r="B24" s="303"/>
      <c r="C24" s="304"/>
      <c r="D24" s="304"/>
      <c r="E24" s="349"/>
      <c r="F24" s="269"/>
      <c r="G24" s="269"/>
      <c r="H24" s="269"/>
      <c r="I24" s="269"/>
      <c r="J24" s="269"/>
      <c r="K24" s="285"/>
      <c r="L24" s="403"/>
      <c r="M24" s="444"/>
      <c r="N24" s="444"/>
    </row>
    <row r="25" spans="1:17" x14ac:dyDescent="0.25">
      <c r="A25" s="298"/>
      <c r="B25" s="305"/>
      <c r="C25" s="304"/>
      <c r="D25" s="304"/>
      <c r="E25" s="349"/>
      <c r="F25" s="269"/>
      <c r="G25" s="269"/>
      <c r="H25" s="269"/>
      <c r="I25" s="269"/>
      <c r="J25" s="269"/>
      <c r="K25" s="400"/>
      <c r="L25" s="367"/>
      <c r="M25" s="444"/>
      <c r="N25" s="269"/>
    </row>
    <row r="26" spans="1:17" x14ac:dyDescent="0.25">
      <c r="A26" s="298"/>
      <c r="B26" s="305"/>
      <c r="C26" s="304"/>
      <c r="D26" s="304"/>
      <c r="E26" s="349"/>
      <c r="F26" s="269"/>
      <c r="G26" s="269"/>
      <c r="H26" s="269"/>
      <c r="I26" s="269"/>
      <c r="J26" s="269"/>
      <c r="K26" s="400"/>
      <c r="L26" s="475"/>
      <c r="M26" s="444"/>
      <c r="N26" s="269"/>
    </row>
    <row r="27" spans="1:17" x14ac:dyDescent="0.25">
      <c r="A27" s="362"/>
      <c r="B27" s="363"/>
      <c r="C27" s="304"/>
      <c r="D27" s="280"/>
      <c r="E27" s="275"/>
      <c r="F27" s="269"/>
      <c r="G27" s="269"/>
      <c r="H27" s="269"/>
      <c r="I27" s="269"/>
      <c r="J27" s="269"/>
      <c r="K27" s="474"/>
      <c r="L27" s="367"/>
      <c r="M27" s="444"/>
      <c r="N27" s="269"/>
    </row>
    <row r="28" spans="1:17" x14ac:dyDescent="0.25">
      <c r="A28" s="275"/>
      <c r="B28" s="271"/>
      <c r="C28" s="383"/>
      <c r="D28" s="344"/>
      <c r="E28" s="439"/>
      <c r="F28" s="269"/>
      <c r="G28" s="269"/>
      <c r="H28" s="269"/>
      <c r="I28" s="269"/>
      <c r="J28" s="269"/>
      <c r="K28" s="399"/>
      <c r="L28" s="476"/>
      <c r="N28" s="269"/>
    </row>
    <row r="29" spans="1:17" x14ac:dyDescent="0.25">
      <c r="A29" s="384"/>
      <c r="B29" s="269"/>
      <c r="C29" s="385"/>
      <c r="D29" s="386"/>
      <c r="E29" s="440"/>
      <c r="F29" s="269"/>
      <c r="G29" s="269"/>
      <c r="H29" s="269"/>
      <c r="I29" s="269"/>
      <c r="J29" s="269"/>
      <c r="K29" s="472"/>
      <c r="L29" s="473"/>
      <c r="M29" s="444"/>
      <c r="N29" s="269"/>
    </row>
    <row r="30" spans="1:17" x14ac:dyDescent="0.25">
      <c r="A30" s="269"/>
      <c r="B30" s="269"/>
      <c r="C30" s="269"/>
      <c r="D30" s="269"/>
      <c r="E30" s="283"/>
      <c r="F30" s="269"/>
      <c r="G30" s="269"/>
      <c r="H30" s="269"/>
      <c r="I30" s="269"/>
      <c r="J30" s="269"/>
      <c r="K30" s="398"/>
      <c r="L30" s="269"/>
      <c r="M30" s="444"/>
      <c r="N30" s="269"/>
    </row>
    <row r="31" spans="1:17" x14ac:dyDescent="0.25">
      <c r="A31" s="269"/>
      <c r="B31" s="269"/>
      <c r="C31" s="269"/>
      <c r="D31" s="280"/>
      <c r="E31" s="349" t="s">
        <v>196</v>
      </c>
      <c r="F31" s="386"/>
      <c r="G31" s="386"/>
      <c r="H31" s="419"/>
      <c r="I31" s="269"/>
      <c r="J31" s="269"/>
      <c r="K31" s="398"/>
      <c r="L31" s="269"/>
      <c r="M31" s="248"/>
      <c r="N31" s="51"/>
    </row>
    <row r="32" spans="1:17" x14ac:dyDescent="0.25">
      <c r="A32" s="269"/>
      <c r="B32" s="269"/>
      <c r="C32" s="269"/>
      <c r="D32" s="280"/>
      <c r="E32" s="349"/>
      <c r="F32" s="386"/>
      <c r="G32" s="419"/>
      <c r="H32" s="419"/>
      <c r="I32" s="269"/>
      <c r="J32" s="269"/>
      <c r="K32" s="269"/>
      <c r="L32" s="269"/>
      <c r="M32" s="248"/>
      <c r="N32" s="51"/>
    </row>
    <row r="33" spans="1:14" x14ac:dyDescent="0.25">
      <c r="A33" s="269"/>
      <c r="B33" s="269"/>
      <c r="C33" s="269"/>
      <c r="D33" s="429"/>
      <c r="E33" s="430" t="s">
        <v>197</v>
      </c>
      <c r="F33" s="419" t="s">
        <v>198</v>
      </c>
      <c r="G33" s="419" t="s">
        <v>199</v>
      </c>
      <c r="H33" s="419" t="s">
        <v>200</v>
      </c>
      <c r="I33" s="269"/>
      <c r="J33" s="269"/>
      <c r="K33" s="269"/>
      <c r="L33" s="269"/>
      <c r="M33" s="248"/>
      <c r="N33" s="51"/>
    </row>
    <row r="34" spans="1:14" x14ac:dyDescent="0.25">
      <c r="A34" s="269"/>
      <c r="B34" s="269"/>
      <c r="C34" s="269"/>
      <c r="D34" s="420" t="s">
        <v>201</v>
      </c>
      <c r="E34" s="423">
        <v>466976.92</v>
      </c>
      <c r="F34" s="441">
        <v>99774</v>
      </c>
      <c r="G34" s="419">
        <v>5</v>
      </c>
      <c r="H34" s="442">
        <v>20</v>
      </c>
      <c r="I34" s="277"/>
      <c r="J34" s="277"/>
      <c r="K34" s="269"/>
      <c r="L34" s="269"/>
      <c r="M34" s="248"/>
      <c r="N34" s="51"/>
    </row>
    <row r="35" spans="1:14" x14ac:dyDescent="0.25">
      <c r="A35" s="269"/>
      <c r="B35" s="269"/>
      <c r="C35" s="269"/>
      <c r="D35" s="420" t="s">
        <v>201</v>
      </c>
      <c r="E35" s="427">
        <v>815680.37</v>
      </c>
      <c r="F35" s="424">
        <v>66925</v>
      </c>
      <c r="G35" s="421">
        <v>31</v>
      </c>
      <c r="H35" s="421">
        <v>7</v>
      </c>
      <c r="I35" s="277"/>
      <c r="J35" s="269"/>
      <c r="K35" s="269"/>
      <c r="L35" s="269"/>
      <c r="M35" s="248"/>
      <c r="N35" s="51"/>
    </row>
    <row r="36" spans="1:14" x14ac:dyDescent="0.25">
      <c r="A36" s="269"/>
      <c r="B36" s="269"/>
      <c r="C36" s="269"/>
      <c r="D36" s="420" t="s">
        <v>201</v>
      </c>
      <c r="E36" s="428">
        <v>3073505.09</v>
      </c>
      <c r="F36" s="428">
        <v>235159</v>
      </c>
      <c r="G36" s="419">
        <v>25</v>
      </c>
      <c r="H36" s="419">
        <v>20</v>
      </c>
      <c r="I36" s="277"/>
      <c r="J36" s="269"/>
      <c r="K36" s="269"/>
      <c r="L36" s="269"/>
      <c r="M36" s="248"/>
      <c r="N36" s="51"/>
    </row>
    <row r="37" spans="1:14" x14ac:dyDescent="0.25">
      <c r="A37" s="269"/>
      <c r="B37" s="269"/>
      <c r="C37" s="269"/>
      <c r="D37" s="286" t="s">
        <v>202</v>
      </c>
      <c r="E37" s="425">
        <v>698529.91</v>
      </c>
      <c r="F37" s="425">
        <v>69852.990000000005</v>
      </c>
      <c r="G37" s="277">
        <v>9</v>
      </c>
      <c r="H37" s="277">
        <v>15</v>
      </c>
      <c r="I37" s="277"/>
      <c r="J37" s="277"/>
      <c r="K37" s="269"/>
      <c r="L37" s="269"/>
      <c r="M37" s="248"/>
      <c r="N37" s="51"/>
    </row>
    <row r="38" spans="1:14" x14ac:dyDescent="0.25">
      <c r="A38" s="268"/>
      <c r="B38" s="298"/>
      <c r="C38" s="304"/>
      <c r="D38" s="286" t="s">
        <v>202</v>
      </c>
      <c r="E38" s="425">
        <v>98848.21</v>
      </c>
      <c r="F38" s="275">
        <v>13840</v>
      </c>
      <c r="G38" s="277">
        <v>7</v>
      </c>
      <c r="H38" s="277">
        <v>15</v>
      </c>
      <c r="I38" s="422"/>
      <c r="J38" s="420"/>
      <c r="K38" s="349"/>
      <c r="L38" s="455"/>
      <c r="M38" s="248"/>
      <c r="N38" s="51"/>
    </row>
    <row r="39" spans="1:14" ht="15.75" thickBot="1" x14ac:dyDescent="0.3">
      <c r="A39" s="300"/>
      <c r="B39" s="298"/>
      <c r="C39" s="307"/>
      <c r="D39" s="431" t="s">
        <v>203</v>
      </c>
      <c r="E39" s="437">
        <v>746515</v>
      </c>
      <c r="F39" s="434">
        <v>122867</v>
      </c>
      <c r="G39" s="277">
        <v>11</v>
      </c>
      <c r="H39" s="432">
        <v>5</v>
      </c>
      <c r="I39" s="306"/>
      <c r="J39" s="280"/>
      <c r="K39" s="349"/>
      <c r="L39" s="455"/>
      <c r="M39" s="248"/>
      <c r="N39" s="51"/>
    </row>
    <row r="40" spans="1:14" ht="15.75" thickBot="1" x14ac:dyDescent="0.3">
      <c r="A40" s="300"/>
      <c r="B40" s="298"/>
      <c r="C40" s="304"/>
      <c r="D40" s="436"/>
      <c r="E40" s="435">
        <f>SUM(E34:E39)</f>
        <v>5900055.5</v>
      </c>
      <c r="F40" s="435">
        <f>SUM(F34:F39)</f>
        <v>608417.99</v>
      </c>
      <c r="G40" s="433"/>
      <c r="H40" s="277"/>
      <c r="I40" s="306"/>
      <c r="J40" s="280"/>
      <c r="K40" s="349"/>
      <c r="L40" s="455"/>
      <c r="M40" s="248"/>
      <c r="N40" s="51"/>
    </row>
    <row r="41" spans="1:14" x14ac:dyDescent="0.25">
      <c r="A41" s="308"/>
      <c r="B41" s="298"/>
      <c r="C41" s="304"/>
      <c r="D41" s="306"/>
      <c r="E41" s="280"/>
      <c r="F41" s="430"/>
      <c r="G41" s="423"/>
      <c r="H41" s="280"/>
      <c r="I41" s="306"/>
      <c r="J41" s="280"/>
      <c r="K41" s="349"/>
      <c r="L41" s="455"/>
      <c r="M41" s="248"/>
      <c r="N41" s="51"/>
    </row>
    <row r="42" spans="1:14" x14ac:dyDescent="0.25">
      <c r="A42" s="300">
        <v>387</v>
      </c>
      <c r="B42" s="298"/>
      <c r="C42" s="304"/>
      <c r="D42" s="306"/>
      <c r="E42" s="280"/>
      <c r="F42" s="420"/>
      <c r="G42" s="423"/>
      <c r="H42" s="280"/>
      <c r="I42" s="280"/>
      <c r="J42" s="280"/>
      <c r="K42" s="349"/>
      <c r="L42" s="455"/>
      <c r="M42" s="248"/>
      <c r="N42" s="51"/>
    </row>
    <row r="43" spans="1:14" ht="15.75" thickBot="1" x14ac:dyDescent="0.3">
      <c r="A43" s="300"/>
      <c r="B43" s="298"/>
      <c r="C43" s="304"/>
      <c r="D43" s="306"/>
      <c r="E43" s="280"/>
      <c r="F43" s="420"/>
      <c r="G43" s="424"/>
      <c r="H43" s="280"/>
      <c r="I43" s="280"/>
      <c r="J43" s="268"/>
      <c r="K43" s="349"/>
      <c r="L43" s="455"/>
      <c r="M43" s="248"/>
      <c r="N43" s="51"/>
    </row>
    <row r="44" spans="1:14" ht="15.75" thickBot="1" x14ac:dyDescent="0.3">
      <c r="A44" s="300"/>
      <c r="B44" s="298"/>
      <c r="C44" s="304"/>
      <c r="D44" s="309"/>
      <c r="E44" s="344"/>
      <c r="F44" s="421"/>
      <c r="G44" s="426" t="s">
        <v>24</v>
      </c>
      <c r="H44" s="309"/>
      <c r="I44" s="309"/>
      <c r="J44" s="280"/>
      <c r="K44" s="349"/>
      <c r="L44" s="455"/>
      <c r="M44" s="248"/>
      <c r="N44" s="51"/>
    </row>
    <row r="45" spans="1:14" ht="19.5" thickBot="1" x14ac:dyDescent="0.35">
      <c r="A45" s="300"/>
      <c r="B45" s="310" t="s">
        <v>188</v>
      </c>
      <c r="C45" s="311"/>
      <c r="D45" s="333"/>
      <c r="E45" s="280"/>
      <c r="F45" s="341" t="s">
        <v>183</v>
      </c>
      <c r="G45" s="316" t="s">
        <v>176</v>
      </c>
      <c r="H45" s="312" t="s">
        <v>20</v>
      </c>
      <c r="I45" s="313" t="s">
        <v>21</v>
      </c>
      <c r="J45" s="306"/>
      <c r="K45" s="349"/>
      <c r="L45" s="455"/>
      <c r="M45" s="248"/>
      <c r="N45" s="51"/>
    </row>
    <row r="46" spans="1:14" ht="19.5" thickBot="1" x14ac:dyDescent="0.35">
      <c r="A46" s="304"/>
      <c r="B46" s="314"/>
      <c r="C46" s="315"/>
      <c r="D46" s="271"/>
      <c r="E46" s="280"/>
      <c r="F46" s="342"/>
      <c r="G46" s="320"/>
      <c r="H46" s="317" t="s">
        <v>176</v>
      </c>
      <c r="I46" s="318" t="s">
        <v>176</v>
      </c>
      <c r="J46" s="306"/>
      <c r="K46" s="349"/>
      <c r="L46" s="455"/>
      <c r="M46" s="248"/>
      <c r="N46" s="51"/>
    </row>
    <row r="47" spans="1:14" x14ac:dyDescent="0.25">
      <c r="A47" s="304"/>
      <c r="B47" s="319" t="s">
        <v>172</v>
      </c>
      <c r="C47" s="271"/>
      <c r="D47" s="268"/>
      <c r="E47" s="280"/>
      <c r="F47" s="343" t="s">
        <v>194</v>
      </c>
      <c r="G47" s="323"/>
      <c r="H47" s="321"/>
      <c r="I47" s="279"/>
      <c r="J47" s="280"/>
      <c r="K47" s="349"/>
      <c r="L47" s="455"/>
      <c r="M47" s="248"/>
      <c r="N47" s="51"/>
    </row>
    <row r="48" spans="1:14" x14ac:dyDescent="0.25">
      <c r="A48" s="305"/>
      <c r="B48" s="319" t="s">
        <v>17</v>
      </c>
      <c r="C48" s="354"/>
      <c r="D48" s="268"/>
      <c r="E48" s="298"/>
      <c r="F48" s="337" t="s">
        <v>186</v>
      </c>
      <c r="G48" s="323"/>
      <c r="H48" s="324"/>
      <c r="I48" s="298"/>
      <c r="J48" s="298"/>
      <c r="K48" s="325"/>
      <c r="L48" s="455"/>
      <c r="M48" s="281"/>
      <c r="N48" s="51"/>
    </row>
    <row r="49" spans="1:14" x14ac:dyDescent="0.25">
      <c r="A49" s="305"/>
      <c r="B49" s="319" t="s">
        <v>173</v>
      </c>
      <c r="C49" s="354"/>
      <c r="D49" s="268"/>
      <c r="E49" s="298"/>
      <c r="F49" s="337" t="s">
        <v>187</v>
      </c>
      <c r="G49" s="323"/>
      <c r="H49" s="324"/>
      <c r="I49" s="298"/>
      <c r="J49" s="298"/>
      <c r="K49" s="352"/>
      <c r="L49" s="455"/>
      <c r="M49" s="281"/>
      <c r="N49" s="51"/>
    </row>
    <row r="50" spans="1:14" x14ac:dyDescent="0.25">
      <c r="A50" s="305"/>
      <c r="B50" s="319" t="s">
        <v>174</v>
      </c>
      <c r="C50" s="354"/>
      <c r="D50" s="268"/>
      <c r="E50" s="298"/>
      <c r="F50" s="337" t="s">
        <v>177</v>
      </c>
      <c r="G50" s="323"/>
      <c r="H50" s="324"/>
      <c r="I50" s="298"/>
      <c r="J50" s="298"/>
      <c r="K50" s="352"/>
      <c r="L50" s="455"/>
      <c r="M50" s="281"/>
      <c r="N50" s="51"/>
    </row>
    <row r="51" spans="1:14" ht="16.5" thickBot="1" x14ac:dyDescent="0.3">
      <c r="A51" s="305"/>
      <c r="B51" s="340" t="s">
        <v>175</v>
      </c>
      <c r="C51" s="356"/>
      <c r="D51" s="300"/>
      <c r="E51" s="298"/>
      <c r="F51" s="337" t="s">
        <v>179</v>
      </c>
      <c r="G51" s="327"/>
      <c r="H51" s="324"/>
      <c r="I51" s="298"/>
      <c r="J51" s="298"/>
      <c r="K51" s="352"/>
      <c r="L51" s="455"/>
      <c r="M51" s="281"/>
      <c r="N51" s="51"/>
    </row>
    <row r="52" spans="1:14" ht="16.5" thickBot="1" x14ac:dyDescent="0.3">
      <c r="A52" s="334"/>
      <c r="B52" s="326" t="s">
        <v>71</v>
      </c>
      <c r="C52" s="360"/>
      <c r="D52" s="358"/>
      <c r="E52" s="298"/>
      <c r="F52" s="337" t="s">
        <v>180</v>
      </c>
      <c r="G52" s="329"/>
      <c r="H52" s="328"/>
      <c r="I52" s="298"/>
      <c r="J52" s="298"/>
      <c r="K52" s="334"/>
      <c r="L52" s="455"/>
      <c r="M52" s="281"/>
      <c r="N52" s="51"/>
    </row>
    <row r="53" spans="1:14" ht="19.5" thickBot="1" x14ac:dyDescent="0.35">
      <c r="A53" s="334"/>
      <c r="B53" s="315"/>
      <c r="C53" s="359"/>
      <c r="D53" s="298"/>
      <c r="E53" s="298"/>
      <c r="F53" s="338" t="s">
        <v>178</v>
      </c>
      <c r="G53" s="315"/>
      <c r="H53" s="330"/>
      <c r="I53" s="299"/>
      <c r="J53" s="298"/>
      <c r="K53" s="352"/>
      <c r="L53" s="455"/>
      <c r="M53" s="281"/>
      <c r="N53" s="51"/>
    </row>
    <row r="54" spans="1:14" ht="15.75" thickBot="1" x14ac:dyDescent="0.3">
      <c r="A54" s="335"/>
      <c r="B54" s="298"/>
      <c r="C54" s="298"/>
      <c r="D54" s="298"/>
      <c r="E54" s="298"/>
      <c r="F54" s="299"/>
      <c r="G54" s="331" t="s">
        <v>176</v>
      </c>
      <c r="H54" s="315"/>
      <c r="I54" s="298"/>
      <c r="J54" s="298"/>
      <c r="K54" s="353"/>
      <c r="L54" s="455"/>
      <c r="M54" s="281"/>
      <c r="N54" s="51"/>
    </row>
    <row r="55" spans="1:14" x14ac:dyDescent="0.25">
      <c r="A55" s="336"/>
      <c r="B55" s="298"/>
      <c r="C55" s="298"/>
      <c r="D55" s="298"/>
      <c r="E55" s="298"/>
      <c r="F55" s="339"/>
      <c r="G55" s="298"/>
      <c r="H55" s="331" t="s">
        <v>176</v>
      </c>
      <c r="I55" s="268"/>
      <c r="J55" s="298"/>
      <c r="K55" s="351"/>
      <c r="L55" s="455"/>
      <c r="M55" s="281"/>
      <c r="N55" s="51"/>
    </row>
    <row r="56" spans="1:14" ht="15.75" thickBot="1" x14ac:dyDescent="0.3">
      <c r="A56" s="336"/>
      <c r="B56" s="298"/>
      <c r="C56" s="298"/>
      <c r="D56" s="298"/>
      <c r="E56" s="298"/>
      <c r="F56" s="299"/>
      <c r="G56" s="269"/>
      <c r="H56" s="298"/>
      <c r="I56" s="268"/>
      <c r="J56" s="298"/>
      <c r="K56" s="325"/>
      <c r="L56" s="456"/>
      <c r="M56" s="281"/>
      <c r="N56" s="51"/>
    </row>
    <row r="57" spans="1:14" x14ac:dyDescent="0.25">
      <c r="A57" s="443"/>
      <c r="B57" s="269"/>
      <c r="C57" s="269"/>
      <c r="D57" s="269"/>
      <c r="E57" s="269"/>
      <c r="F57" s="444"/>
      <c r="G57" s="277"/>
      <c r="H57" s="269"/>
      <c r="I57" s="198"/>
      <c r="J57" s="269"/>
      <c r="K57" s="269"/>
      <c r="L57" s="445"/>
      <c r="M57" s="87"/>
      <c r="N57" s="51"/>
    </row>
    <row r="58" spans="1:14" x14ac:dyDescent="0.25">
      <c r="A58" s="443"/>
      <c r="B58" s="269"/>
      <c r="C58" s="269"/>
      <c r="D58" s="269"/>
      <c r="E58" s="277"/>
      <c r="F58" s="446"/>
      <c r="G58" s="277"/>
      <c r="H58" s="277"/>
      <c r="I58" s="198"/>
      <c r="J58" s="269"/>
      <c r="K58" s="269"/>
      <c r="L58" s="269"/>
      <c r="M58" s="87"/>
      <c r="N58" s="51"/>
    </row>
    <row r="59" spans="1:14" x14ac:dyDescent="0.25">
      <c r="A59" s="443"/>
      <c r="B59" s="269"/>
      <c r="C59" s="269"/>
      <c r="D59" s="269"/>
      <c r="E59" s="277"/>
      <c r="F59" s="277"/>
      <c r="G59" s="277"/>
      <c r="H59" s="277"/>
      <c r="I59" s="286"/>
      <c r="J59" s="269"/>
      <c r="K59" s="269"/>
      <c r="L59" s="269"/>
      <c r="M59" s="87"/>
      <c r="N59" s="51"/>
    </row>
    <row r="60" spans="1:14" x14ac:dyDescent="0.25">
      <c r="A60" s="443"/>
      <c r="B60" s="269"/>
      <c r="C60" s="269"/>
      <c r="D60" s="269"/>
      <c r="E60" s="277"/>
      <c r="F60" s="277"/>
      <c r="G60" s="277"/>
      <c r="H60" s="277"/>
      <c r="I60" s="290"/>
      <c r="J60" s="269"/>
      <c r="K60" s="269"/>
      <c r="L60" s="269"/>
      <c r="M60" s="87"/>
      <c r="N60" s="51"/>
    </row>
    <row r="61" spans="1:14" x14ac:dyDescent="0.25">
      <c r="A61" s="443"/>
      <c r="B61" s="269"/>
      <c r="C61" s="269"/>
      <c r="D61" s="269"/>
      <c r="E61" s="277"/>
      <c r="F61" s="277"/>
      <c r="G61" s="277"/>
      <c r="H61" s="277"/>
      <c r="I61" s="290"/>
      <c r="J61" s="269"/>
      <c r="K61" s="269"/>
      <c r="L61" s="269"/>
      <c r="M61" s="87"/>
      <c r="N61" s="51"/>
    </row>
    <row r="62" spans="1:14" x14ac:dyDescent="0.25">
      <c r="A62" s="448"/>
      <c r="B62" s="449"/>
      <c r="C62" s="269"/>
      <c r="D62" s="269"/>
      <c r="E62" s="277"/>
      <c r="F62" s="277"/>
      <c r="G62" s="277"/>
      <c r="H62" s="277"/>
      <c r="I62" s="286"/>
      <c r="J62" s="269"/>
      <c r="K62" s="269"/>
      <c r="L62" s="269"/>
      <c r="M62" s="87"/>
      <c r="N62" s="51"/>
    </row>
    <row r="63" spans="1:14" x14ac:dyDescent="0.25">
      <c r="A63" s="283"/>
      <c r="B63" s="449"/>
      <c r="C63" s="269"/>
      <c r="D63" s="269"/>
      <c r="E63" s="277"/>
      <c r="F63" s="277"/>
      <c r="G63" s="454"/>
      <c r="H63" s="286"/>
      <c r="I63" s="277"/>
      <c r="J63" s="269"/>
      <c r="K63" s="269"/>
      <c r="L63" s="269"/>
      <c r="M63" s="87"/>
      <c r="N63" s="51"/>
    </row>
    <row r="64" spans="1:14" x14ac:dyDescent="0.25">
      <c r="A64" s="283"/>
      <c r="B64" s="449"/>
      <c r="C64" s="269"/>
      <c r="D64" s="269"/>
      <c r="E64" s="269"/>
      <c r="F64" s="454"/>
      <c r="G64" s="269"/>
      <c r="H64" s="454"/>
      <c r="I64" s="454"/>
      <c r="J64" s="454"/>
      <c r="K64" s="269"/>
      <c r="L64" s="269"/>
      <c r="M64" s="87"/>
      <c r="N64" s="51"/>
    </row>
    <row r="65" spans="1:14" x14ac:dyDescent="0.25">
      <c r="A65" s="283"/>
      <c r="B65" s="269"/>
      <c r="C65" s="269"/>
      <c r="D65" s="269"/>
      <c r="E65" s="269"/>
      <c r="F65" s="269"/>
      <c r="G65" s="269"/>
      <c r="H65" s="198"/>
      <c r="I65" s="269"/>
      <c r="J65" s="269"/>
      <c r="K65" s="269"/>
      <c r="L65" s="269"/>
      <c r="M65" s="87"/>
      <c r="N65" s="51"/>
    </row>
    <row r="66" spans="1:14" x14ac:dyDescent="0.25">
      <c r="A66" s="283"/>
      <c r="B66" s="269"/>
      <c r="C66" s="269"/>
      <c r="D66" s="269"/>
      <c r="E66" s="269"/>
      <c r="F66" s="269"/>
      <c r="G66" s="269"/>
      <c r="H66" s="198"/>
      <c r="I66" s="269"/>
      <c r="J66" s="269"/>
      <c r="K66" s="269"/>
      <c r="L66" s="269"/>
      <c r="M66" s="87"/>
      <c r="N66" s="51"/>
    </row>
    <row r="67" spans="1:14" x14ac:dyDescent="0.25">
      <c r="A67" s="283"/>
      <c r="B67" s="269"/>
      <c r="C67" s="269"/>
      <c r="D67" s="269"/>
      <c r="E67" s="269"/>
      <c r="F67" s="269"/>
      <c r="G67" s="269"/>
      <c r="H67" s="367"/>
      <c r="I67" s="269"/>
      <c r="J67" s="269"/>
      <c r="K67" s="269"/>
      <c r="L67" s="269"/>
      <c r="M67" s="87"/>
      <c r="N67" s="51"/>
    </row>
    <row r="68" spans="1:14" x14ac:dyDescent="0.25">
      <c r="A68" s="269"/>
      <c r="B68" s="269"/>
      <c r="C68" s="269"/>
      <c r="D68" s="269"/>
      <c r="E68" s="269"/>
      <c r="F68" s="269"/>
      <c r="G68" s="269"/>
      <c r="H68" s="367"/>
      <c r="I68" s="269"/>
      <c r="J68" s="269"/>
      <c r="K68" s="269"/>
      <c r="L68" s="269"/>
      <c r="M68" s="87"/>
      <c r="N68" s="51"/>
    </row>
    <row r="69" spans="1:14" x14ac:dyDescent="0.25">
      <c r="A69" s="269"/>
      <c r="B69" s="269"/>
      <c r="C69" s="269"/>
      <c r="D69" s="269"/>
      <c r="E69" s="269"/>
      <c r="F69" s="269"/>
      <c r="G69" s="269"/>
      <c r="H69" s="367"/>
      <c r="I69" s="269"/>
      <c r="J69" s="269"/>
      <c r="K69" s="269"/>
      <c r="L69" s="269"/>
      <c r="M69" s="87"/>
      <c r="N69" s="51"/>
    </row>
    <row r="70" spans="1:14" x14ac:dyDescent="0.25">
      <c r="A70" s="269"/>
      <c r="B70" s="269"/>
      <c r="C70" s="269"/>
      <c r="D70" s="269"/>
      <c r="E70" s="269"/>
      <c r="F70" s="269"/>
      <c r="G70" s="269"/>
      <c r="H70" s="367"/>
      <c r="I70" s="269"/>
      <c r="J70" s="367"/>
      <c r="K70" s="269"/>
      <c r="L70" s="269"/>
      <c r="M70" s="87"/>
      <c r="N70" s="51"/>
    </row>
    <row r="71" spans="1:14" x14ac:dyDescent="0.25">
      <c r="A71" s="269"/>
      <c r="B71" s="269"/>
      <c r="C71" s="269"/>
      <c r="D71" s="269"/>
      <c r="E71" s="269"/>
      <c r="F71" s="269"/>
      <c r="G71" s="269"/>
      <c r="H71" s="367"/>
      <c r="I71" s="269"/>
      <c r="J71" s="269"/>
      <c r="K71" s="269"/>
      <c r="L71" s="269"/>
      <c r="M71" s="87"/>
      <c r="N71" s="51"/>
    </row>
    <row r="72" spans="1:14" x14ac:dyDescent="0.25">
      <c r="A72" s="269"/>
      <c r="B72" s="269"/>
      <c r="C72" s="269"/>
      <c r="D72" s="269"/>
      <c r="E72" s="269"/>
      <c r="F72" s="269"/>
      <c r="G72" s="269"/>
      <c r="H72" s="367"/>
      <c r="I72" s="450"/>
      <c r="J72" s="269"/>
      <c r="K72" s="269"/>
      <c r="L72" s="269"/>
      <c r="M72" s="87"/>
      <c r="N72" s="51"/>
    </row>
    <row r="73" spans="1:14" x14ac:dyDescent="0.25">
      <c r="A73" s="269"/>
      <c r="B73" s="269"/>
      <c r="C73" s="269"/>
      <c r="D73" s="269"/>
      <c r="E73" s="269"/>
      <c r="F73" s="269"/>
      <c r="G73" s="269"/>
      <c r="H73" s="198"/>
      <c r="I73" s="450"/>
      <c r="J73" s="269"/>
      <c r="K73" s="269"/>
      <c r="L73" s="269"/>
      <c r="M73" s="87"/>
      <c r="N73" s="51"/>
    </row>
    <row r="74" spans="1:14" x14ac:dyDescent="0.25">
      <c r="A74" s="269"/>
      <c r="B74" s="269"/>
      <c r="C74" s="269"/>
      <c r="D74" s="269"/>
      <c r="E74" s="269"/>
      <c r="F74" s="269"/>
      <c r="G74" s="269"/>
      <c r="H74" s="198"/>
      <c r="I74" s="450"/>
      <c r="J74" s="269"/>
      <c r="K74" s="269"/>
      <c r="L74" s="269"/>
      <c r="M74" s="87"/>
      <c r="N74" s="51"/>
    </row>
    <row r="75" spans="1:14" x14ac:dyDescent="0.25">
      <c r="A75" s="269"/>
      <c r="B75" s="269"/>
      <c r="C75" s="269"/>
      <c r="D75" s="269"/>
      <c r="E75" s="269"/>
      <c r="F75" s="269"/>
      <c r="G75" s="269"/>
      <c r="H75" s="367"/>
      <c r="I75" s="450"/>
      <c r="J75" s="269"/>
      <c r="K75" s="269"/>
      <c r="L75" s="269"/>
      <c r="M75" s="87"/>
      <c r="N75" s="51"/>
    </row>
    <row r="76" spans="1:14" x14ac:dyDescent="0.25">
      <c r="A76" s="269"/>
      <c r="B76" s="269"/>
      <c r="C76" s="269"/>
      <c r="D76" s="269"/>
      <c r="E76" s="269"/>
      <c r="F76" s="447"/>
      <c r="G76" s="451"/>
      <c r="H76" s="452"/>
      <c r="I76" s="450"/>
      <c r="J76" s="269"/>
      <c r="K76" s="269"/>
      <c r="L76" s="269"/>
      <c r="M76" s="87"/>
      <c r="N76" s="51"/>
    </row>
    <row r="77" spans="1:14" x14ac:dyDescent="0.25">
      <c r="A77" s="269"/>
      <c r="B77" s="269"/>
      <c r="C77" s="269"/>
      <c r="D77" s="269"/>
      <c r="E77" s="283"/>
      <c r="F77" s="269"/>
      <c r="G77" s="450"/>
      <c r="H77" s="367"/>
      <c r="I77" s="444"/>
      <c r="J77" s="269"/>
      <c r="K77" s="269"/>
      <c r="L77" s="269"/>
      <c r="M77" s="87"/>
      <c r="N77" s="51"/>
    </row>
    <row r="78" spans="1:14" x14ac:dyDescent="0.25">
      <c r="A78" s="269"/>
      <c r="B78" s="269"/>
      <c r="C78" s="269"/>
      <c r="D78" s="198"/>
      <c r="E78" s="269"/>
      <c r="F78" s="445"/>
      <c r="G78" s="269"/>
      <c r="H78" s="453"/>
      <c r="I78" s="454"/>
      <c r="J78" s="269"/>
      <c r="K78" s="269"/>
      <c r="L78" s="269"/>
      <c r="M78" s="87"/>
      <c r="N78" s="51"/>
    </row>
    <row r="79" spans="1:14" x14ac:dyDescent="0.25">
      <c r="A79" s="269"/>
      <c r="B79" s="269"/>
      <c r="C79" s="269"/>
      <c r="D79" s="198"/>
      <c r="E79" s="269"/>
      <c r="F79" s="269"/>
      <c r="G79" s="269"/>
      <c r="H79" s="454"/>
      <c r="I79" s="269"/>
      <c r="J79" s="269"/>
      <c r="K79" s="269"/>
      <c r="L79" s="269"/>
      <c r="M79" s="87"/>
      <c r="N79" s="51"/>
    </row>
    <row r="80" spans="1:14" x14ac:dyDescent="0.25">
      <c r="A80" s="269"/>
      <c r="B80" s="269"/>
      <c r="C80" s="269"/>
      <c r="D80" s="198"/>
      <c r="E80" s="269"/>
      <c r="F80" s="269"/>
      <c r="G80" s="269"/>
      <c r="H80" s="454"/>
      <c r="I80" s="269"/>
      <c r="J80" s="269"/>
      <c r="K80" s="269"/>
      <c r="L80" s="269"/>
      <c r="M80" s="87"/>
      <c r="N80" s="51"/>
    </row>
    <row r="81" spans="1:14" x14ac:dyDescent="0.25">
      <c r="A81" s="269"/>
      <c r="B81" s="269"/>
      <c r="C81" s="269"/>
      <c r="D81" s="198"/>
      <c r="E81" s="269"/>
      <c r="F81" s="269"/>
      <c r="G81" s="269"/>
      <c r="H81" s="454"/>
      <c r="I81" s="269"/>
      <c r="J81" s="269"/>
      <c r="K81" s="269"/>
      <c r="L81" s="269"/>
      <c r="M81" s="87"/>
      <c r="N81" s="51"/>
    </row>
    <row r="82" spans="1:14" x14ac:dyDescent="0.25">
      <c r="A82" s="269"/>
      <c r="B82" s="269"/>
      <c r="C82" s="269"/>
      <c r="D82" s="269"/>
      <c r="E82" s="269"/>
      <c r="F82" s="269"/>
      <c r="G82" s="269"/>
      <c r="H82" s="454"/>
      <c r="I82" s="269"/>
      <c r="J82" s="269"/>
      <c r="K82" s="269"/>
      <c r="L82" s="269"/>
      <c r="M82" s="87"/>
      <c r="N82" s="51"/>
    </row>
    <row r="83" spans="1:14" x14ac:dyDescent="0.25">
      <c r="A83" s="269"/>
      <c r="B83" s="269"/>
      <c r="C83" s="269"/>
      <c r="D83" s="269"/>
      <c r="E83" s="269"/>
      <c r="F83" s="269"/>
      <c r="G83" s="269"/>
      <c r="H83" s="454"/>
      <c r="I83" s="269"/>
      <c r="J83" s="269"/>
      <c r="K83" s="269"/>
      <c r="L83" s="269"/>
      <c r="M83" s="87"/>
      <c r="N83" s="51"/>
    </row>
    <row r="84" spans="1:14" x14ac:dyDescent="0.25">
      <c r="A84" s="269"/>
      <c r="B84" s="269"/>
      <c r="C84" s="269"/>
      <c r="D84" s="269"/>
      <c r="E84" s="269"/>
      <c r="F84" s="269"/>
      <c r="G84" s="269"/>
      <c r="H84" s="454"/>
      <c r="I84" s="269"/>
      <c r="J84" s="269"/>
      <c r="K84" s="269"/>
      <c r="L84" s="269"/>
      <c r="M84" s="87"/>
      <c r="N84" s="51"/>
    </row>
    <row r="85" spans="1:14" x14ac:dyDescent="0.25">
      <c r="A85" s="269"/>
      <c r="B85" s="269"/>
      <c r="C85" s="269"/>
      <c r="D85" s="269"/>
      <c r="E85" s="269"/>
      <c r="F85" s="269"/>
      <c r="G85" s="269"/>
      <c r="H85" s="454"/>
      <c r="I85" s="269"/>
      <c r="J85" s="269"/>
      <c r="K85" s="269"/>
      <c r="L85" s="269"/>
      <c r="M85" s="87"/>
      <c r="N85" s="51"/>
    </row>
    <row r="86" spans="1:14" x14ac:dyDescent="0.25">
      <c r="A86" s="269"/>
      <c r="B86" s="269"/>
      <c r="C86" s="269"/>
      <c r="D86" s="269"/>
      <c r="E86" s="269"/>
      <c r="F86" s="269"/>
      <c r="G86" s="269"/>
      <c r="H86" s="454"/>
      <c r="I86" s="269"/>
      <c r="J86" s="269"/>
      <c r="K86" s="269"/>
      <c r="L86" s="269"/>
      <c r="M86" s="87"/>
      <c r="N86" s="51"/>
    </row>
    <row r="87" spans="1:14" x14ac:dyDescent="0.25">
      <c r="A87" s="269"/>
      <c r="B87" s="269"/>
      <c r="C87" s="269"/>
      <c r="D87" s="269"/>
      <c r="E87" s="269"/>
      <c r="F87" s="269"/>
      <c r="G87" s="269"/>
      <c r="H87" s="454"/>
      <c r="I87" s="269"/>
      <c r="J87" s="269"/>
      <c r="K87" s="269"/>
      <c r="L87" s="269"/>
      <c r="M87" s="87"/>
      <c r="N87" s="51"/>
    </row>
    <row r="88" spans="1:14" x14ac:dyDescent="0.25">
      <c r="A88" s="269"/>
      <c r="B88" s="269"/>
      <c r="C88" s="269"/>
      <c r="D88" s="269"/>
      <c r="E88" s="269"/>
      <c r="F88" s="269"/>
      <c r="G88" s="269"/>
      <c r="H88" s="269"/>
      <c r="I88" s="269"/>
      <c r="J88" s="269"/>
      <c r="K88" s="269"/>
      <c r="L88" s="269"/>
      <c r="M88" s="51"/>
      <c r="N88" s="51"/>
    </row>
    <row r="89" spans="1:14" x14ac:dyDescent="0.25">
      <c r="A89" s="269"/>
      <c r="B89" s="269"/>
      <c r="C89" s="269"/>
      <c r="D89" s="269"/>
      <c r="E89" s="269"/>
      <c r="F89" s="269"/>
      <c r="G89" s="269"/>
      <c r="H89" s="269"/>
      <c r="I89" s="269"/>
      <c r="J89" s="269"/>
      <c r="K89" s="269"/>
      <c r="L89" s="269"/>
      <c r="M89" s="51"/>
      <c r="N89" s="51"/>
    </row>
    <row r="90" spans="1:14" x14ac:dyDescent="0.25">
      <c r="A90" s="269"/>
      <c r="B90" s="269"/>
      <c r="C90" s="269"/>
      <c r="D90" s="269"/>
      <c r="E90" s="269"/>
      <c r="F90" s="269"/>
      <c r="G90" s="269"/>
      <c r="H90" s="269"/>
      <c r="I90" s="269"/>
      <c r="J90" s="269"/>
      <c r="K90" s="269"/>
      <c r="L90" s="269"/>
      <c r="M90" s="51"/>
      <c r="N90" s="51"/>
    </row>
    <row r="91" spans="1:14" x14ac:dyDescent="0.25">
      <c r="A91" s="269"/>
      <c r="B91" s="269"/>
      <c r="C91" s="269"/>
      <c r="D91" s="269"/>
      <c r="E91" s="269"/>
      <c r="F91" s="269"/>
      <c r="G91" s="269"/>
      <c r="H91" s="269"/>
      <c r="I91" s="269"/>
      <c r="J91" s="269"/>
      <c r="K91" s="269"/>
      <c r="L91" s="269"/>
      <c r="M91" s="51"/>
      <c r="N91" s="51"/>
    </row>
    <row r="92" spans="1:14" x14ac:dyDescent="0.25">
      <c r="A92" s="269"/>
      <c r="B92" s="269"/>
      <c r="C92" s="269"/>
      <c r="D92" s="269"/>
      <c r="E92" s="269"/>
      <c r="F92" s="269"/>
      <c r="G92" s="269"/>
      <c r="H92" s="269"/>
      <c r="I92" s="269"/>
      <c r="J92" s="269"/>
      <c r="K92" s="269"/>
      <c r="L92" s="269"/>
      <c r="M92" s="51"/>
      <c r="N92" s="51"/>
    </row>
    <row r="93" spans="1:14" x14ac:dyDescent="0.25">
      <c r="A93" s="269"/>
      <c r="B93" s="269"/>
      <c r="C93" s="269"/>
      <c r="D93" s="269"/>
      <c r="E93" s="269"/>
      <c r="F93" s="269"/>
      <c r="G93" s="269"/>
      <c r="H93" s="269"/>
      <c r="I93" s="269"/>
      <c r="J93" s="269"/>
      <c r="K93" s="269"/>
      <c r="L93" s="269"/>
      <c r="M93" s="51"/>
      <c r="N93" s="51"/>
    </row>
    <row r="94" spans="1:14" x14ac:dyDescent="0.25">
      <c r="A94" s="269"/>
      <c r="B94" s="269"/>
      <c r="C94" s="269"/>
      <c r="D94" s="269"/>
      <c r="E94" s="269"/>
      <c r="F94" s="269"/>
      <c r="G94" s="269"/>
      <c r="H94" s="269"/>
      <c r="I94" s="269"/>
      <c r="J94" s="269"/>
      <c r="K94" s="269"/>
      <c r="L94" s="269"/>
      <c r="M94" s="51"/>
      <c r="N94" s="51"/>
    </row>
    <row r="95" spans="1:14" x14ac:dyDescent="0.25">
      <c r="A95" s="269"/>
      <c r="B95" s="269"/>
      <c r="C95" s="269"/>
      <c r="D95" s="269"/>
      <c r="E95" s="269"/>
      <c r="F95" s="269"/>
      <c r="G95" s="269"/>
      <c r="H95" s="269"/>
      <c r="I95" s="269"/>
      <c r="J95" s="269"/>
      <c r="K95" s="269"/>
      <c r="L95" s="269"/>
      <c r="M95" s="51"/>
      <c r="N95" s="51"/>
    </row>
    <row r="96" spans="1:14" x14ac:dyDescent="0.25">
      <c r="A96" s="269"/>
      <c r="B96" s="269"/>
      <c r="C96" s="269"/>
      <c r="D96" s="269"/>
      <c r="E96" s="269"/>
      <c r="F96" s="269"/>
      <c r="G96" s="269"/>
      <c r="H96" s="269"/>
      <c r="I96" s="269"/>
      <c r="J96" s="269"/>
      <c r="K96" s="269"/>
      <c r="L96" s="269"/>
      <c r="M96" s="51"/>
      <c r="N96" s="51"/>
    </row>
    <row r="97" spans="1:14" x14ac:dyDescent="0.25">
      <c r="A97" s="269"/>
      <c r="B97" s="269"/>
      <c r="C97" s="269"/>
      <c r="D97" s="269"/>
      <c r="E97" s="269"/>
      <c r="F97" s="269"/>
      <c r="G97" s="269"/>
      <c r="H97" s="269"/>
      <c r="I97" s="269"/>
      <c r="J97" s="269"/>
      <c r="K97" s="269"/>
      <c r="L97" s="269"/>
      <c r="M97" s="51"/>
      <c r="N97" s="51"/>
    </row>
    <row r="98" spans="1:14" x14ac:dyDescent="0.25">
      <c r="A98" s="269"/>
      <c r="B98" s="269"/>
      <c r="C98" s="269"/>
      <c r="D98" s="269"/>
      <c r="E98" s="269"/>
      <c r="F98" s="269"/>
      <c r="G98" s="269"/>
      <c r="H98" s="269"/>
      <c r="I98" s="269"/>
      <c r="J98" s="269"/>
      <c r="K98" s="269"/>
      <c r="L98" s="269"/>
      <c r="M98" s="51"/>
      <c r="N98" s="51"/>
    </row>
    <row r="99" spans="1:14" x14ac:dyDescent="0.25">
      <c r="A99" s="269"/>
      <c r="B99" s="269"/>
      <c r="C99" s="269"/>
      <c r="D99" s="269"/>
      <c r="E99" s="269"/>
      <c r="F99" s="269"/>
      <c r="G99" s="269"/>
      <c r="H99" s="269"/>
      <c r="I99" s="269"/>
      <c r="J99" s="269"/>
      <c r="K99" s="269"/>
      <c r="L99" s="269"/>
      <c r="M99" s="51"/>
      <c r="N99" s="51"/>
    </row>
    <row r="100" spans="1:14" x14ac:dyDescent="0.25">
      <c r="A100" s="269"/>
      <c r="B100" s="269"/>
      <c r="C100" s="269"/>
      <c r="D100" s="269"/>
      <c r="E100" s="269"/>
      <c r="F100" s="269"/>
      <c r="G100" s="269"/>
      <c r="H100" s="269"/>
      <c r="I100" s="269"/>
      <c r="J100" s="269"/>
      <c r="K100" s="269"/>
      <c r="L100" s="269"/>
      <c r="M100" s="51"/>
      <c r="N100" s="51"/>
    </row>
    <row r="101" spans="1:14" x14ac:dyDescent="0.25">
      <c r="A101" s="269"/>
      <c r="B101" s="269"/>
      <c r="C101" s="269"/>
      <c r="D101" s="269"/>
      <c r="E101" s="269"/>
      <c r="F101" s="269"/>
      <c r="G101" s="269"/>
      <c r="H101" s="269"/>
      <c r="I101" s="269"/>
      <c r="J101" s="269"/>
      <c r="K101" s="269"/>
      <c r="L101" s="269"/>
      <c r="M101" s="51"/>
      <c r="N101" s="51"/>
    </row>
    <row r="102" spans="1:14" x14ac:dyDescent="0.25">
      <c r="A102" s="269"/>
      <c r="B102" s="269"/>
      <c r="C102" s="269"/>
      <c r="D102" s="269"/>
      <c r="E102" s="269"/>
      <c r="F102" s="269"/>
      <c r="G102" s="269"/>
      <c r="H102" s="269"/>
      <c r="I102" s="269"/>
      <c r="J102" s="269"/>
      <c r="K102" s="269"/>
      <c r="L102" s="269"/>
      <c r="M102" s="51"/>
      <c r="N102" s="51"/>
    </row>
    <row r="103" spans="1:14" x14ac:dyDescent="0.25">
      <c r="A103" s="269"/>
      <c r="B103" s="269"/>
      <c r="C103" s="269"/>
      <c r="D103" s="269"/>
      <c r="E103" s="269"/>
      <c r="F103" s="269"/>
      <c r="G103" s="269"/>
      <c r="H103" s="269"/>
      <c r="I103" s="269"/>
      <c r="J103" s="269"/>
      <c r="K103" s="269"/>
      <c r="L103" s="269"/>
      <c r="M103" s="51"/>
      <c r="N103" s="51"/>
    </row>
    <row r="104" spans="1:14" x14ac:dyDescent="0.25">
      <c r="A104" s="269"/>
      <c r="B104" s="269"/>
      <c r="C104" s="269"/>
      <c r="D104" s="269"/>
      <c r="E104" s="269"/>
      <c r="F104" s="269"/>
      <c r="G104" s="269"/>
      <c r="H104" s="269"/>
      <c r="I104" s="269"/>
      <c r="J104" s="269"/>
      <c r="K104" s="269"/>
      <c r="L104" s="269"/>
      <c r="M104" s="51"/>
      <c r="N104" s="51"/>
    </row>
    <row r="105" spans="1:14" x14ac:dyDescent="0.25">
      <c r="A105" s="298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</row>
    <row r="106" spans="1:14" x14ac:dyDescent="0.25">
      <c r="A106" s="298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</row>
    <row r="107" spans="1:14" x14ac:dyDescent="0.25">
      <c r="A107" s="298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</row>
    <row r="108" spans="1:14" x14ac:dyDescent="0.25">
      <c r="A108" s="298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</row>
    <row r="109" spans="1:14" x14ac:dyDescent="0.25">
      <c r="A109" s="298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</row>
    <row r="110" spans="1:14" x14ac:dyDescent="0.25">
      <c r="A110" s="298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</row>
    <row r="111" spans="1:14" x14ac:dyDescent="0.25">
      <c r="A111" s="298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</row>
    <row r="112" spans="1:14" x14ac:dyDescent="0.25">
      <c r="A112" s="298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</row>
    <row r="113" spans="1:14" x14ac:dyDescent="0.25">
      <c r="A113" s="298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</row>
    <row r="114" spans="1:14" x14ac:dyDescent="0.25">
      <c r="A114" s="298"/>
      <c r="B114" s="51"/>
      <c r="C114" s="51"/>
      <c r="D114" s="51"/>
      <c r="E114" s="51"/>
      <c r="F114" s="51"/>
      <c r="G114" s="298"/>
      <c r="H114" s="51"/>
      <c r="I114" s="51"/>
      <c r="J114" s="51"/>
      <c r="K114" s="51"/>
      <c r="L114" s="51"/>
      <c r="M114" s="51"/>
      <c r="N114" s="51"/>
    </row>
    <row r="115" spans="1:14" x14ac:dyDescent="0.25">
      <c r="A115" s="298"/>
      <c r="B115" s="298"/>
      <c r="C115" s="298"/>
      <c r="D115" s="298"/>
      <c r="E115" s="298"/>
      <c r="F115" s="298"/>
      <c r="G115" s="298"/>
      <c r="H115" s="298"/>
      <c r="I115" s="298"/>
      <c r="J115" s="298"/>
      <c r="K115" s="298"/>
      <c r="L115" s="298"/>
      <c r="M115" s="298"/>
      <c r="N115" s="51"/>
    </row>
    <row r="116" spans="1:14" x14ac:dyDescent="0.25">
      <c r="A116" s="298"/>
      <c r="B116" s="298"/>
      <c r="C116" s="298"/>
      <c r="D116" s="298"/>
      <c r="E116" s="298"/>
      <c r="F116" s="298"/>
      <c r="G116" s="298"/>
      <c r="H116" s="298"/>
      <c r="I116" s="298"/>
      <c r="J116" s="298"/>
      <c r="K116" s="298"/>
      <c r="L116" s="298"/>
      <c r="M116" s="298"/>
      <c r="N116" s="51"/>
    </row>
    <row r="117" spans="1:14" x14ac:dyDescent="0.25">
      <c r="A117" s="298"/>
      <c r="B117" s="298"/>
      <c r="C117" s="298"/>
      <c r="D117" s="298"/>
      <c r="E117" s="298"/>
      <c r="F117" s="298"/>
      <c r="G117" s="298"/>
      <c r="H117" s="298"/>
      <c r="I117" s="298"/>
      <c r="J117" s="298"/>
      <c r="K117" s="298"/>
      <c r="L117" s="298"/>
      <c r="M117" s="298"/>
      <c r="N117" s="51"/>
    </row>
    <row r="118" spans="1:14" x14ac:dyDescent="0.25">
      <c r="A118" s="298"/>
      <c r="B118" s="298"/>
      <c r="C118" s="298"/>
      <c r="D118" s="298"/>
      <c r="E118" s="298"/>
      <c r="F118" s="298"/>
      <c r="G118" s="298"/>
      <c r="H118" s="298"/>
      <c r="I118" s="298"/>
      <c r="J118" s="298"/>
      <c r="K118" s="298"/>
      <c r="L118" s="298"/>
      <c r="M118" s="298"/>
      <c r="N118" s="51"/>
    </row>
    <row r="119" spans="1:14" x14ac:dyDescent="0.25">
      <c r="A119" s="298"/>
      <c r="B119" s="298"/>
      <c r="C119" s="298"/>
      <c r="D119" s="298"/>
      <c r="E119" s="298"/>
      <c r="F119" s="298"/>
      <c r="G119" s="298"/>
      <c r="H119" s="298"/>
      <c r="I119" s="298"/>
      <c r="J119" s="298"/>
      <c r="K119" s="298"/>
      <c r="L119" s="298"/>
      <c r="M119" s="298"/>
      <c r="N119" s="51"/>
    </row>
    <row r="120" spans="1:14" x14ac:dyDescent="0.25">
      <c r="A120" s="298"/>
      <c r="B120" s="298"/>
      <c r="C120" s="298"/>
      <c r="D120" s="298"/>
      <c r="E120" s="298"/>
      <c r="F120" s="298"/>
      <c r="G120" s="298"/>
      <c r="H120" s="298"/>
      <c r="I120" s="298"/>
      <c r="J120" s="298"/>
      <c r="K120" s="298"/>
      <c r="L120" s="298"/>
      <c r="M120" s="298"/>
      <c r="N120" s="51"/>
    </row>
    <row r="121" spans="1:14" x14ac:dyDescent="0.25">
      <c r="A121" s="298"/>
      <c r="B121" s="298"/>
      <c r="C121" s="298"/>
      <c r="D121" s="298"/>
      <c r="E121" s="298"/>
      <c r="F121" s="298"/>
      <c r="G121" s="298"/>
      <c r="H121" s="298"/>
      <c r="I121" s="298"/>
      <c r="J121" s="298"/>
      <c r="K121" s="298"/>
      <c r="L121" s="298"/>
      <c r="M121" s="298"/>
      <c r="N121" s="51"/>
    </row>
    <row r="122" spans="1:14" x14ac:dyDescent="0.25">
      <c r="A122" s="298"/>
      <c r="B122" s="298"/>
      <c r="C122" s="298"/>
      <c r="D122" s="298"/>
      <c r="E122" s="298"/>
      <c r="F122" s="298"/>
      <c r="G122" s="298"/>
      <c r="H122" s="298"/>
      <c r="I122" s="298"/>
      <c r="J122" s="298"/>
      <c r="K122" s="298"/>
      <c r="L122" s="298"/>
      <c r="M122" s="298"/>
      <c r="N122" s="51"/>
    </row>
    <row r="123" spans="1:14" x14ac:dyDescent="0.25">
      <c r="A123" s="298"/>
      <c r="B123" s="298"/>
      <c r="C123" s="298"/>
      <c r="D123" s="298"/>
      <c r="E123" s="298"/>
      <c r="F123" s="298"/>
      <c r="G123" s="298"/>
      <c r="H123" s="298"/>
      <c r="I123" s="298"/>
      <c r="J123" s="298"/>
      <c r="K123" s="298"/>
      <c r="L123" s="298"/>
      <c r="M123" s="298"/>
      <c r="N123" s="51"/>
    </row>
    <row r="124" spans="1:14" x14ac:dyDescent="0.25">
      <c r="A124" s="298"/>
      <c r="B124" s="298"/>
      <c r="C124" s="298"/>
      <c r="D124" s="298"/>
      <c r="E124" s="298"/>
      <c r="F124" s="298"/>
      <c r="G124" s="298"/>
      <c r="H124" s="298"/>
      <c r="I124" s="298"/>
      <c r="J124" s="298"/>
      <c r="K124" s="298"/>
      <c r="L124" s="298"/>
      <c r="M124" s="298"/>
      <c r="N124" s="51"/>
    </row>
    <row r="125" spans="1:14" x14ac:dyDescent="0.25">
      <c r="A125" s="298"/>
      <c r="B125" s="298"/>
      <c r="C125" s="298"/>
      <c r="D125" s="298"/>
      <c r="E125" s="298"/>
      <c r="F125" s="298"/>
      <c r="G125" s="50"/>
      <c r="H125" s="298"/>
      <c r="I125" s="298"/>
      <c r="J125" s="298"/>
      <c r="K125" s="298"/>
      <c r="L125" s="298"/>
      <c r="M125" s="298"/>
      <c r="N125" s="51"/>
    </row>
    <row r="126" spans="1:14" x14ac:dyDescent="0.2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1"/>
    </row>
    <row r="127" spans="1:14" x14ac:dyDescent="0.2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1"/>
    </row>
    <row r="128" spans="1:14" x14ac:dyDescent="0.2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1"/>
    </row>
    <row r="129" spans="1:14" x14ac:dyDescent="0.2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</row>
    <row r="130" spans="1:14" x14ac:dyDescent="0.2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</row>
    <row r="131" spans="1:14" x14ac:dyDescent="0.2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</row>
    <row r="132" spans="1:14" x14ac:dyDescent="0.2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</row>
    <row r="133" spans="1:14" x14ac:dyDescent="0.2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</row>
    <row r="134" spans="1:14" x14ac:dyDescent="0.2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</row>
    <row r="135" spans="1:14" x14ac:dyDescent="0.2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</row>
    <row r="136" spans="1:14" x14ac:dyDescent="0.2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</row>
    <row r="137" spans="1:14" x14ac:dyDescent="0.2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</row>
    <row r="138" spans="1:14" x14ac:dyDescent="0.2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</row>
    <row r="139" spans="1:14" x14ac:dyDescent="0.25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</row>
    <row r="140" spans="1:14" x14ac:dyDescent="0.25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</row>
    <row r="141" spans="1:14" x14ac:dyDescent="0.25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</row>
    <row r="142" spans="1:14" x14ac:dyDescent="0.25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</row>
    <row r="143" spans="1:14" x14ac:dyDescent="0.25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</row>
    <row r="144" spans="1:14" x14ac:dyDescent="0.25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</row>
    <row r="145" spans="1:14" x14ac:dyDescent="0.2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</row>
    <row r="146" spans="1:14" x14ac:dyDescent="0.25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</row>
    <row r="147" spans="1:14" x14ac:dyDescent="0.25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</row>
    <row r="148" spans="1:14" x14ac:dyDescent="0.25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</row>
    <row r="149" spans="1:14" x14ac:dyDescent="0.25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</row>
    <row r="150" spans="1:14" x14ac:dyDescent="0.25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</row>
    <row r="151" spans="1:14" x14ac:dyDescent="0.25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</row>
    <row r="152" spans="1:14" x14ac:dyDescent="0.25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</row>
    <row r="153" spans="1:14" x14ac:dyDescent="0.25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</row>
    <row r="154" spans="1:14" x14ac:dyDescent="0.25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</row>
    <row r="155" spans="1:14" x14ac:dyDescent="0.2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</row>
    <row r="156" spans="1:14" x14ac:dyDescent="0.25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</row>
    <row r="157" spans="1:14" x14ac:dyDescent="0.25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</row>
    <row r="158" spans="1:14" x14ac:dyDescent="0.25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</row>
    <row r="159" spans="1:14" x14ac:dyDescent="0.25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</row>
    <row r="160" spans="1:14" x14ac:dyDescent="0.25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</row>
    <row r="161" spans="1:14" x14ac:dyDescent="0.25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</row>
    <row r="162" spans="1:14" x14ac:dyDescent="0.25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</row>
    <row r="163" spans="1:14" x14ac:dyDescent="0.25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</row>
    <row r="164" spans="1:14" x14ac:dyDescent="0.25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</row>
    <row r="165" spans="1:14" x14ac:dyDescent="0.2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</row>
    <row r="166" spans="1:14" x14ac:dyDescent="0.25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</row>
    <row r="167" spans="1:14" x14ac:dyDescent="0.25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</row>
    <row r="168" spans="1:14" x14ac:dyDescent="0.25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</row>
    <row r="169" spans="1:14" x14ac:dyDescent="0.25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</row>
    <row r="170" spans="1:14" x14ac:dyDescent="0.25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</row>
    <row r="171" spans="1:14" x14ac:dyDescent="0.25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</row>
    <row r="172" spans="1:14" x14ac:dyDescent="0.25">
      <c r="A172" s="50"/>
      <c r="B172" s="50"/>
      <c r="C172" s="50"/>
      <c r="D172" s="50"/>
      <c r="E172" s="50"/>
      <c r="F172" s="50"/>
      <c r="H172" s="50"/>
      <c r="I172" s="50"/>
      <c r="J172" s="50"/>
      <c r="K172" s="50"/>
      <c r="L172" s="50"/>
      <c r="M172" s="50"/>
      <c r="N172" s="50"/>
    </row>
  </sheetData>
  <pageMargins left="0.7" right="0.7" top="0.75" bottom="0.75" header="0.3" footer="0.3"/>
  <pageSetup paperSize="9" orientation="portrait" horizontalDpi="4294967293" vertic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55"/>
  <sheetViews>
    <sheetView topLeftCell="B16" workbookViewId="0">
      <selection activeCell="AK29" sqref="AK29"/>
    </sheetView>
  </sheetViews>
  <sheetFormatPr baseColWidth="10" defaultColWidth="9.140625" defaultRowHeight="15" x14ac:dyDescent="0.25"/>
  <cols>
    <col min="4" max="4" width="19.85546875" customWidth="1"/>
    <col min="6" max="6" width="9.140625" style="1"/>
    <col min="13" max="13" width="9.85546875" customWidth="1"/>
    <col min="14" max="14" width="10.42578125" customWidth="1"/>
    <col min="15" max="15" width="18.5703125" customWidth="1"/>
    <col min="16" max="16" width="12.85546875" customWidth="1"/>
    <col min="17" max="17" width="11.85546875" customWidth="1"/>
    <col min="18" max="18" width="10.5703125" customWidth="1"/>
    <col min="21" max="21" width="12.140625" customWidth="1"/>
    <col min="22" max="22" width="11.140625" customWidth="1"/>
    <col min="23" max="23" width="10.85546875" customWidth="1"/>
    <col min="24" max="24" width="11.5703125" customWidth="1"/>
    <col min="25" max="25" width="11.42578125" customWidth="1"/>
    <col min="26" max="26" width="12.7109375" customWidth="1"/>
    <col min="27" max="27" width="11.5703125" customWidth="1"/>
    <col min="28" max="28" width="11.42578125" customWidth="1"/>
    <col min="30" max="30" width="13" customWidth="1"/>
    <col min="32" max="32" width="12.28515625" customWidth="1"/>
  </cols>
  <sheetData>
    <row r="1" spans="4:32" ht="15.75" thickBot="1" x14ac:dyDescent="0.3">
      <c r="D1" s="7"/>
    </row>
    <row r="2" spans="4:32" ht="15.75" thickBot="1" x14ac:dyDescent="0.3">
      <c r="D2" s="34" t="s">
        <v>29</v>
      </c>
      <c r="E2" s="42"/>
      <c r="F2" s="32"/>
      <c r="H2" s="52" t="s">
        <v>24</v>
      </c>
      <c r="J2" s="53" t="s">
        <v>20</v>
      </c>
      <c r="L2" s="54" t="s">
        <v>21</v>
      </c>
      <c r="N2" s="55" t="s">
        <v>22</v>
      </c>
      <c r="P2" s="56" t="s">
        <v>39</v>
      </c>
      <c r="R2" s="77" t="s">
        <v>41</v>
      </c>
      <c r="S2" s="50"/>
      <c r="T2" s="78" t="s">
        <v>43</v>
      </c>
      <c r="U2" s="50"/>
      <c r="V2" s="96" t="s">
        <v>45</v>
      </c>
      <c r="W2" s="50"/>
      <c r="X2" s="95" t="s">
        <v>46</v>
      </c>
      <c r="Y2" s="74"/>
      <c r="Z2" s="90" t="s">
        <v>47</v>
      </c>
      <c r="AA2" s="50"/>
      <c r="AB2" s="94" t="s">
        <v>48</v>
      </c>
      <c r="AC2" s="50"/>
      <c r="AD2" s="93" t="s">
        <v>49</v>
      </c>
      <c r="AE2" s="50"/>
      <c r="AF2" s="50"/>
    </row>
    <row r="3" spans="4:32" ht="15.75" thickBot="1" x14ac:dyDescent="0.3">
      <c r="H3" s="50"/>
      <c r="I3" s="50"/>
      <c r="J3" s="50"/>
      <c r="K3" s="50"/>
      <c r="L3" s="50"/>
      <c r="M3" s="50"/>
      <c r="N3" s="50"/>
      <c r="O3" s="50"/>
      <c r="P3" s="50"/>
      <c r="Q3" s="74"/>
      <c r="R3" s="50"/>
      <c r="S3" s="50"/>
      <c r="T3" s="50"/>
      <c r="U3" s="50"/>
      <c r="V3" s="50"/>
      <c r="W3" s="50"/>
      <c r="X3" s="50"/>
      <c r="Y3" s="74"/>
      <c r="Z3" s="50"/>
      <c r="AA3" s="50"/>
      <c r="AB3" s="50"/>
      <c r="AC3" s="50"/>
      <c r="AD3" s="50"/>
      <c r="AE3" s="50"/>
      <c r="AF3" s="50"/>
    </row>
    <row r="4" spans="4:32" ht="15.75" thickBot="1" x14ac:dyDescent="0.3">
      <c r="D4" s="33" t="s">
        <v>0</v>
      </c>
      <c r="E4" s="1"/>
      <c r="H4" s="50"/>
      <c r="I4" s="50"/>
      <c r="J4" s="50"/>
      <c r="K4" s="50"/>
      <c r="L4" s="57"/>
      <c r="M4" s="50"/>
      <c r="N4" s="50"/>
      <c r="O4" s="86" t="s">
        <v>0</v>
      </c>
      <c r="P4" s="50"/>
      <c r="Q4" s="74"/>
      <c r="R4" s="50"/>
      <c r="S4" s="50"/>
      <c r="T4" s="50"/>
      <c r="U4" s="50"/>
      <c r="V4" s="50"/>
      <c r="W4" s="50"/>
      <c r="X4" s="50"/>
      <c r="Y4" s="74"/>
      <c r="Z4" s="50"/>
      <c r="AA4" s="50"/>
      <c r="AB4" s="50"/>
      <c r="AC4" s="50"/>
      <c r="AD4" s="50"/>
      <c r="AE4" s="50"/>
      <c r="AF4" s="50"/>
    </row>
    <row r="5" spans="4:32" x14ac:dyDescent="0.25">
      <c r="D5" s="48" t="s">
        <v>1</v>
      </c>
      <c r="E5" s="1"/>
      <c r="H5" s="58">
        <v>1082</v>
      </c>
      <c r="I5" s="50"/>
      <c r="J5" s="58">
        <v>1114.1199999999999</v>
      </c>
      <c r="K5" s="50"/>
      <c r="L5" s="59">
        <v>1070</v>
      </c>
      <c r="M5" s="50"/>
      <c r="N5" s="58">
        <v>1079</v>
      </c>
      <c r="O5" s="48" t="s">
        <v>1</v>
      </c>
      <c r="P5" s="58">
        <v>773.85</v>
      </c>
      <c r="Q5" s="74"/>
      <c r="R5" s="58">
        <v>831.23</v>
      </c>
      <c r="S5" s="50"/>
      <c r="T5" s="58">
        <v>1063</v>
      </c>
      <c r="U5" s="50"/>
      <c r="V5" s="58">
        <v>1063</v>
      </c>
      <c r="W5" s="50"/>
      <c r="X5" s="58">
        <v>1032</v>
      </c>
      <c r="Y5" s="74"/>
      <c r="Z5" s="58">
        <v>1032</v>
      </c>
      <c r="AA5" s="50"/>
      <c r="AB5" s="58">
        <v>1032</v>
      </c>
      <c r="AC5" s="50"/>
      <c r="AD5" s="58">
        <v>814.58</v>
      </c>
      <c r="AE5" s="50"/>
      <c r="AF5" s="50"/>
    </row>
    <row r="6" spans="4:32" x14ac:dyDescent="0.25">
      <c r="D6" s="48" t="s">
        <v>2</v>
      </c>
      <c r="E6" s="1"/>
      <c r="H6" s="60">
        <v>550</v>
      </c>
      <c r="I6" s="50"/>
      <c r="J6" s="58">
        <v>550</v>
      </c>
      <c r="K6" s="50"/>
      <c r="L6" s="59">
        <v>428.89</v>
      </c>
      <c r="M6" s="50"/>
      <c r="N6" s="58">
        <v>427</v>
      </c>
      <c r="O6" s="48" t="s">
        <v>2</v>
      </c>
      <c r="P6" s="58">
        <v>733.71</v>
      </c>
      <c r="Q6" s="74"/>
      <c r="R6" s="58">
        <v>727.95</v>
      </c>
      <c r="S6" s="50"/>
      <c r="T6" s="58">
        <v>579</v>
      </c>
      <c r="U6" s="50"/>
      <c r="V6" s="58">
        <v>579</v>
      </c>
      <c r="W6" s="50"/>
      <c r="X6" s="58">
        <v>867</v>
      </c>
      <c r="Y6" s="74"/>
      <c r="Z6" s="58">
        <v>867.19</v>
      </c>
      <c r="AA6" s="50"/>
      <c r="AB6" s="58">
        <v>666</v>
      </c>
      <c r="AC6" s="50"/>
      <c r="AD6" s="50"/>
      <c r="AE6" s="50"/>
      <c r="AF6" s="50"/>
    </row>
    <row r="7" spans="4:32" x14ac:dyDescent="0.25">
      <c r="D7" s="48" t="s">
        <v>3</v>
      </c>
      <c r="E7" s="1"/>
      <c r="H7" s="58">
        <v>272.44</v>
      </c>
      <c r="I7" s="50"/>
      <c r="J7" s="58">
        <v>272.44</v>
      </c>
      <c r="K7" s="50"/>
      <c r="L7" s="59">
        <v>272</v>
      </c>
      <c r="M7" s="50"/>
      <c r="N7" s="58"/>
      <c r="O7" s="48" t="s">
        <v>3</v>
      </c>
      <c r="P7" s="58">
        <v>272</v>
      </c>
      <c r="Q7" s="74"/>
      <c r="R7" s="60">
        <v>272</v>
      </c>
      <c r="S7" s="50"/>
      <c r="T7" s="58">
        <v>272</v>
      </c>
      <c r="U7" s="50"/>
      <c r="V7" s="58">
        <v>272</v>
      </c>
      <c r="W7" s="50"/>
      <c r="X7" s="58">
        <v>272</v>
      </c>
      <c r="Y7" s="74"/>
      <c r="Z7" s="58">
        <v>272.44</v>
      </c>
      <c r="AA7" s="50"/>
      <c r="AB7" s="58">
        <v>272.44</v>
      </c>
      <c r="AC7" s="50"/>
      <c r="AD7" s="58">
        <v>272.44</v>
      </c>
      <c r="AE7" s="50"/>
      <c r="AF7" s="50"/>
    </row>
    <row r="8" spans="4:32" x14ac:dyDescent="0.25">
      <c r="D8" s="48" t="s">
        <v>4</v>
      </c>
      <c r="E8" s="1"/>
      <c r="H8" s="58">
        <v>2094.5300000000002</v>
      </c>
      <c r="I8" s="50"/>
      <c r="J8" s="58">
        <v>2102.41</v>
      </c>
      <c r="K8" s="50"/>
      <c r="L8" s="59">
        <v>2135.36</v>
      </c>
      <c r="M8" s="50"/>
      <c r="N8" s="50"/>
      <c r="O8" s="48" t="s">
        <v>4</v>
      </c>
      <c r="P8" s="58">
        <v>2450</v>
      </c>
      <c r="Q8" s="74"/>
      <c r="R8" s="58">
        <v>2390.8000000000002</v>
      </c>
      <c r="S8" s="50"/>
      <c r="T8" s="58">
        <v>2600</v>
      </c>
      <c r="U8" s="50"/>
      <c r="V8" s="58">
        <v>2876</v>
      </c>
      <c r="W8" s="50"/>
      <c r="X8" s="58">
        <v>3368.23</v>
      </c>
      <c r="Y8" s="74"/>
      <c r="Z8" s="58">
        <v>2405</v>
      </c>
      <c r="AA8" s="50"/>
      <c r="AB8" s="58">
        <v>2689.84</v>
      </c>
      <c r="AC8" s="50"/>
      <c r="AD8" s="58">
        <v>2431.88</v>
      </c>
      <c r="AE8" s="50"/>
      <c r="AF8" s="50"/>
    </row>
    <row r="9" spans="4:32" ht="15.75" thickBot="1" x14ac:dyDescent="0.3">
      <c r="D9" s="49" t="s">
        <v>23</v>
      </c>
      <c r="E9" s="1"/>
      <c r="H9" s="58">
        <v>566.77</v>
      </c>
      <c r="I9" s="50"/>
      <c r="J9" s="58">
        <v>649.54999999999995</v>
      </c>
      <c r="K9" s="50"/>
      <c r="L9" s="59">
        <v>577.20000000000005</v>
      </c>
      <c r="M9" s="50"/>
      <c r="N9" s="51"/>
      <c r="O9" s="49" t="s">
        <v>23</v>
      </c>
      <c r="P9" s="58">
        <v>680</v>
      </c>
      <c r="Q9" s="74"/>
      <c r="R9" s="58">
        <v>1030.3499999999999</v>
      </c>
      <c r="S9" s="50"/>
      <c r="T9" s="58">
        <v>700</v>
      </c>
      <c r="U9" s="50"/>
      <c r="V9" s="58">
        <v>764</v>
      </c>
      <c r="W9" s="50"/>
      <c r="X9" s="58">
        <v>829</v>
      </c>
      <c r="Y9" s="74"/>
      <c r="Z9" s="58">
        <v>821.64</v>
      </c>
      <c r="AA9" s="50"/>
      <c r="AB9" s="58">
        <v>820.06</v>
      </c>
      <c r="AC9" s="50"/>
      <c r="AD9" s="58">
        <v>1170.0999999999999</v>
      </c>
      <c r="AE9" s="50"/>
      <c r="AF9" s="50"/>
    </row>
    <row r="10" spans="4:32" ht="15.75" thickBot="1" x14ac:dyDescent="0.3">
      <c r="D10" s="35" t="s">
        <v>5</v>
      </c>
      <c r="E10" s="1"/>
      <c r="H10" s="50"/>
      <c r="I10" s="50"/>
      <c r="J10" s="50"/>
      <c r="K10" s="50"/>
      <c r="L10" s="57"/>
      <c r="M10" s="50"/>
      <c r="N10" s="50"/>
      <c r="O10" s="86" t="s">
        <v>5</v>
      </c>
      <c r="P10" s="50"/>
      <c r="Q10" s="74"/>
      <c r="R10" s="50"/>
      <c r="S10" s="50"/>
      <c r="T10" s="50"/>
      <c r="U10" s="50"/>
      <c r="V10" s="50"/>
      <c r="W10" s="50"/>
      <c r="X10" s="50"/>
      <c r="Y10" s="74"/>
      <c r="Z10" s="50"/>
      <c r="AA10" s="50"/>
      <c r="AB10" s="50"/>
      <c r="AC10" s="50"/>
      <c r="AD10" s="50"/>
      <c r="AE10" s="50"/>
      <c r="AF10" s="50"/>
    </row>
    <row r="11" spans="4:32" x14ac:dyDescent="0.25">
      <c r="D11" s="36" t="s">
        <v>6</v>
      </c>
      <c r="E11" s="1"/>
      <c r="H11" s="5"/>
      <c r="I11" s="50"/>
      <c r="J11" s="61">
        <v>2106.86</v>
      </c>
      <c r="K11" s="50"/>
      <c r="L11" s="50" t="s">
        <v>40</v>
      </c>
      <c r="M11" s="50"/>
      <c r="N11" s="59">
        <v>2436.2800000000002</v>
      </c>
      <c r="O11" s="36" t="s">
        <v>6</v>
      </c>
      <c r="P11" s="58">
        <v>1284</v>
      </c>
      <c r="Q11" s="74"/>
      <c r="R11" s="50"/>
      <c r="S11" s="50"/>
      <c r="T11" s="58">
        <v>2436</v>
      </c>
      <c r="U11" s="50"/>
      <c r="V11" s="58"/>
      <c r="W11" s="50"/>
      <c r="X11" s="58">
        <v>2436</v>
      </c>
      <c r="Y11" s="74"/>
      <c r="Z11" s="50">
        <v>0</v>
      </c>
      <c r="AA11" s="50"/>
      <c r="AB11" s="58">
        <v>2436</v>
      </c>
      <c r="AC11" s="50"/>
      <c r="AD11" s="58"/>
      <c r="AE11" s="50"/>
      <c r="AF11" s="50"/>
    </row>
    <row r="12" spans="4:32" x14ac:dyDescent="0.25">
      <c r="D12" s="36" t="s">
        <v>30</v>
      </c>
      <c r="E12" s="7"/>
      <c r="F12" s="7"/>
      <c r="H12" s="62" t="s">
        <v>28</v>
      </c>
      <c r="I12" s="50"/>
      <c r="J12" s="50"/>
      <c r="K12" s="50"/>
      <c r="L12" s="57"/>
      <c r="M12" s="50"/>
      <c r="N12" s="50"/>
      <c r="O12" s="36" t="s">
        <v>30</v>
      </c>
      <c r="P12" s="63" t="s">
        <v>44</v>
      </c>
      <c r="Q12" s="74"/>
      <c r="R12" s="50"/>
      <c r="S12" s="50"/>
      <c r="T12" s="50"/>
      <c r="U12" s="50"/>
      <c r="V12" s="50"/>
      <c r="W12" s="50"/>
      <c r="X12" s="50"/>
      <c r="Y12" s="74"/>
      <c r="Z12" s="50"/>
      <c r="AA12" s="50"/>
      <c r="AB12" s="50"/>
      <c r="AC12" s="50"/>
      <c r="AD12" s="50"/>
      <c r="AE12" s="50"/>
      <c r="AF12" s="50"/>
    </row>
    <row r="13" spans="4:32" ht="15.75" thickBot="1" x14ac:dyDescent="0.3">
      <c r="H13" s="50"/>
      <c r="I13" s="50"/>
      <c r="J13" s="50"/>
      <c r="K13" s="50"/>
      <c r="L13" s="57"/>
      <c r="M13" s="50"/>
      <c r="N13" s="50"/>
      <c r="O13" s="1"/>
      <c r="P13" s="50"/>
      <c r="Q13" s="74"/>
      <c r="R13" s="50"/>
      <c r="S13" s="50"/>
      <c r="T13" s="50"/>
      <c r="U13" s="50"/>
      <c r="V13" s="50"/>
      <c r="W13" s="50"/>
      <c r="X13" s="50"/>
      <c r="Y13" s="74"/>
      <c r="Z13" s="50"/>
      <c r="AA13" s="50"/>
      <c r="AB13" s="50"/>
      <c r="AC13" s="50"/>
      <c r="AD13" s="50"/>
      <c r="AE13" s="50"/>
      <c r="AF13" s="50"/>
    </row>
    <row r="14" spans="4:32" ht="15.75" thickBot="1" x14ac:dyDescent="0.3">
      <c r="D14" s="38" t="s">
        <v>33</v>
      </c>
      <c r="E14" s="1"/>
      <c r="H14" s="50"/>
      <c r="I14" s="50"/>
      <c r="J14" s="50"/>
      <c r="K14" s="50"/>
      <c r="L14" s="50"/>
      <c r="M14" s="50"/>
      <c r="N14" s="58"/>
      <c r="O14" s="86" t="s">
        <v>33</v>
      </c>
      <c r="P14" s="50"/>
      <c r="Q14" s="79"/>
      <c r="R14" s="50"/>
      <c r="S14" s="50"/>
      <c r="T14" s="50"/>
      <c r="U14" s="50"/>
      <c r="V14" s="50"/>
      <c r="W14" s="50"/>
      <c r="X14" s="50"/>
      <c r="Y14" s="74"/>
      <c r="Z14" s="50"/>
      <c r="AA14" s="50"/>
      <c r="AB14" s="50"/>
      <c r="AC14" s="50"/>
      <c r="AD14" s="50"/>
      <c r="AE14" s="50"/>
      <c r="AF14" s="50"/>
    </row>
    <row r="15" spans="4:32" ht="15.75" thickBot="1" x14ac:dyDescent="0.3">
      <c r="D15" s="37" t="s">
        <v>38</v>
      </c>
      <c r="E15" s="2"/>
      <c r="H15" s="63" t="s">
        <v>25</v>
      </c>
      <c r="I15" s="50"/>
      <c r="J15" s="50"/>
      <c r="K15" s="50"/>
      <c r="L15" s="64">
        <v>3950</v>
      </c>
      <c r="M15" s="5" t="s">
        <v>17</v>
      </c>
      <c r="N15" s="59">
        <v>3900</v>
      </c>
      <c r="O15" s="84" t="s">
        <v>38</v>
      </c>
      <c r="P15" s="58">
        <v>4000</v>
      </c>
      <c r="Q15" s="87"/>
      <c r="R15" s="58">
        <v>4000</v>
      </c>
      <c r="S15" s="50"/>
      <c r="T15" s="58">
        <v>4000</v>
      </c>
      <c r="U15" s="88"/>
      <c r="V15" s="58">
        <v>4000</v>
      </c>
      <c r="W15" s="50"/>
      <c r="X15" s="58">
        <v>4000</v>
      </c>
      <c r="Y15" s="74"/>
      <c r="Z15" s="58">
        <v>6000</v>
      </c>
      <c r="AA15" s="58">
        <v>4800</v>
      </c>
      <c r="AB15" s="50"/>
      <c r="AC15" s="50"/>
      <c r="AD15" s="58">
        <v>5200</v>
      </c>
      <c r="AE15" s="51"/>
      <c r="AF15" s="50"/>
    </row>
    <row r="16" spans="4:32" ht="15.75" thickBot="1" x14ac:dyDescent="0.3">
      <c r="H16" s="50"/>
      <c r="I16" s="50"/>
      <c r="J16" s="50"/>
      <c r="K16" s="50"/>
      <c r="L16" s="50"/>
      <c r="M16" s="50"/>
      <c r="N16" s="58"/>
      <c r="O16" s="1"/>
      <c r="P16" s="50"/>
      <c r="Q16" s="74"/>
      <c r="R16" s="50"/>
      <c r="S16" s="50"/>
      <c r="T16" s="50"/>
      <c r="U16" s="88"/>
      <c r="V16" s="50"/>
      <c r="W16" s="50"/>
      <c r="X16" s="50"/>
      <c r="Y16" s="74"/>
      <c r="Z16" s="50"/>
      <c r="AA16" s="50"/>
      <c r="AB16" s="50"/>
      <c r="AC16" s="50"/>
      <c r="AD16" s="50"/>
      <c r="AE16" s="50"/>
      <c r="AF16" s="50"/>
    </row>
    <row r="17" spans="1:44" x14ac:dyDescent="0.25">
      <c r="D17" s="41" t="s">
        <v>34</v>
      </c>
      <c r="H17" s="50"/>
      <c r="I17" s="50"/>
      <c r="J17" s="50"/>
      <c r="K17" s="50"/>
      <c r="L17" s="50"/>
      <c r="M17" s="50"/>
      <c r="N17" s="50"/>
      <c r="O17" s="85" t="s">
        <v>34</v>
      </c>
      <c r="P17" s="50"/>
      <c r="Q17" s="74"/>
      <c r="R17" s="50"/>
      <c r="S17" s="50"/>
      <c r="T17" s="50"/>
      <c r="U17" s="50"/>
      <c r="V17" s="50"/>
      <c r="W17" s="50"/>
      <c r="X17" s="50"/>
      <c r="Y17" s="74"/>
      <c r="Z17" s="50"/>
      <c r="AA17" s="50"/>
      <c r="AB17" s="50"/>
      <c r="AC17" s="50"/>
      <c r="AD17" s="50"/>
      <c r="AE17" s="50"/>
      <c r="AF17" s="50"/>
    </row>
    <row r="18" spans="1:44" x14ac:dyDescent="0.25">
      <c r="C18" s="1"/>
      <c r="D18" s="43" t="s">
        <v>31</v>
      </c>
      <c r="E18" s="1"/>
      <c r="H18" s="58">
        <v>8101</v>
      </c>
      <c r="I18" s="50"/>
      <c r="J18" s="58">
        <v>8375</v>
      </c>
      <c r="K18" s="50"/>
      <c r="L18" s="59">
        <v>8615</v>
      </c>
      <c r="M18" s="50"/>
      <c r="N18" s="58">
        <v>9000</v>
      </c>
      <c r="O18" s="83" t="s">
        <v>31</v>
      </c>
      <c r="P18" s="58">
        <v>9410</v>
      </c>
      <c r="Q18" s="74"/>
      <c r="R18" s="58">
        <v>9779</v>
      </c>
      <c r="S18" s="50"/>
      <c r="T18" s="58">
        <v>10183</v>
      </c>
      <c r="U18" s="50"/>
      <c r="V18" s="58">
        <v>10461</v>
      </c>
      <c r="W18" s="50"/>
      <c r="X18" s="58">
        <v>10750</v>
      </c>
      <c r="Y18" s="74"/>
      <c r="Z18" s="58">
        <v>11047</v>
      </c>
      <c r="AA18" s="50"/>
      <c r="AB18" s="58">
        <v>11477</v>
      </c>
      <c r="AC18" s="50"/>
      <c r="AD18" s="58">
        <v>11804</v>
      </c>
      <c r="AE18" s="50"/>
      <c r="AF18" s="50"/>
    </row>
    <row r="19" spans="1:44" s="1" customFormat="1" x14ac:dyDescent="0.25">
      <c r="D19" s="43" t="s">
        <v>42</v>
      </c>
      <c r="H19" s="58"/>
      <c r="I19" s="50"/>
      <c r="J19" s="58"/>
      <c r="K19" s="50"/>
      <c r="L19" s="59"/>
      <c r="M19" s="50"/>
      <c r="N19" s="58"/>
      <c r="O19" s="81" t="s">
        <v>42</v>
      </c>
      <c r="P19" s="58"/>
      <c r="Q19" s="74"/>
      <c r="R19" s="50"/>
      <c r="S19" s="50"/>
      <c r="T19" s="58">
        <v>2969</v>
      </c>
      <c r="U19" s="50"/>
      <c r="V19" s="58">
        <v>2188</v>
      </c>
      <c r="W19" s="50"/>
      <c r="X19" s="58">
        <v>2178</v>
      </c>
      <c r="Y19" s="74"/>
      <c r="Z19" s="58">
        <v>2177</v>
      </c>
      <c r="AA19" s="50"/>
      <c r="AB19" s="58">
        <v>2158</v>
      </c>
      <c r="AC19" s="50"/>
      <c r="AD19" s="58">
        <v>2141</v>
      </c>
      <c r="AE19" s="50"/>
      <c r="AF19" s="50"/>
    </row>
    <row r="20" spans="1:44" x14ac:dyDescent="0.25">
      <c r="C20" s="1"/>
      <c r="D20" s="44" t="s">
        <v>32</v>
      </c>
      <c r="E20" s="1"/>
      <c r="H20" s="50"/>
      <c r="I20" s="50"/>
      <c r="J20" s="50"/>
      <c r="K20" s="50"/>
      <c r="L20" s="57"/>
      <c r="M20" s="50"/>
      <c r="N20" s="50"/>
      <c r="O20" s="82" t="s">
        <v>32</v>
      </c>
      <c r="P20" s="50"/>
      <c r="Q20" s="74"/>
      <c r="R20" s="58">
        <v>3300</v>
      </c>
      <c r="S20" s="50"/>
      <c r="T20" s="58">
        <v>3263</v>
      </c>
      <c r="U20" s="50"/>
      <c r="V20" s="58">
        <v>2541</v>
      </c>
      <c r="W20" s="50"/>
      <c r="X20" s="58">
        <v>2533</v>
      </c>
      <c r="Y20" s="74"/>
      <c r="Z20" s="58">
        <v>2537</v>
      </c>
      <c r="AA20" s="50"/>
      <c r="AB20" s="58">
        <v>2515</v>
      </c>
      <c r="AC20" s="50"/>
      <c r="AD20" s="58">
        <v>2496</v>
      </c>
      <c r="AE20" s="50"/>
      <c r="AF20" s="50"/>
    </row>
    <row r="21" spans="1:44" x14ac:dyDescent="0.25">
      <c r="B21" s="2"/>
      <c r="C21" s="1"/>
      <c r="D21" s="45" t="s">
        <v>36</v>
      </c>
      <c r="G21" s="7"/>
      <c r="H21" s="58">
        <v>17184</v>
      </c>
      <c r="I21" s="51"/>
      <c r="J21" s="65" t="s">
        <v>26</v>
      </c>
      <c r="K21" s="50"/>
      <c r="L21" s="59">
        <v>20414</v>
      </c>
      <c r="M21" s="66" t="s">
        <v>28</v>
      </c>
      <c r="N21" s="67">
        <v>13802.19</v>
      </c>
      <c r="O21" s="45" t="s">
        <v>36</v>
      </c>
      <c r="P21" s="58">
        <v>15222.05</v>
      </c>
      <c r="Q21" s="74"/>
      <c r="R21" s="58">
        <v>10000</v>
      </c>
      <c r="S21" s="50"/>
      <c r="T21" s="58">
        <v>30000</v>
      </c>
      <c r="U21" s="51"/>
      <c r="V21" s="58">
        <v>4305</v>
      </c>
      <c r="W21" s="50"/>
      <c r="X21" s="58">
        <v>6559.62</v>
      </c>
      <c r="Y21" s="74"/>
      <c r="Z21" s="58">
        <v>9529.65</v>
      </c>
      <c r="AA21" s="50"/>
      <c r="AB21" s="58">
        <v>21312.5</v>
      </c>
      <c r="AC21" s="50"/>
      <c r="AD21" s="58">
        <v>12669.32</v>
      </c>
      <c r="AE21" s="50"/>
      <c r="AF21" s="50"/>
    </row>
    <row r="22" spans="1:44" x14ac:dyDescent="0.25">
      <c r="C22" s="1"/>
      <c r="D22" s="46" t="s">
        <v>35</v>
      </c>
      <c r="H22" s="58">
        <v>1257</v>
      </c>
      <c r="I22" s="51"/>
      <c r="J22" s="59">
        <v>1085</v>
      </c>
      <c r="K22" s="50"/>
      <c r="L22" s="68">
        <v>4098</v>
      </c>
      <c r="M22" s="69" t="s">
        <v>27</v>
      </c>
      <c r="N22" s="58">
        <v>4044.45</v>
      </c>
      <c r="O22" s="46" t="s">
        <v>35</v>
      </c>
      <c r="P22" s="58">
        <v>1080.56</v>
      </c>
      <c r="Q22" s="74"/>
      <c r="R22" s="58">
        <v>2941.49</v>
      </c>
      <c r="S22" s="50"/>
      <c r="T22" s="58">
        <v>13020</v>
      </c>
      <c r="U22" s="51"/>
      <c r="V22" s="58">
        <v>13134.75</v>
      </c>
      <c r="W22" s="50"/>
      <c r="X22" s="60">
        <v>20080</v>
      </c>
      <c r="Y22" s="91"/>
      <c r="Z22" s="58">
        <v>23044.01</v>
      </c>
      <c r="AA22" s="50"/>
      <c r="AB22" s="58">
        <v>19804</v>
      </c>
      <c r="AC22" s="50"/>
      <c r="AD22" s="58">
        <v>20892.849999999999</v>
      </c>
      <c r="AE22" s="50"/>
      <c r="AF22" s="50"/>
    </row>
    <row r="23" spans="1:44" ht="15.75" thickBot="1" x14ac:dyDescent="0.3">
      <c r="C23" s="1"/>
      <c r="D23" s="47" t="s">
        <v>37</v>
      </c>
      <c r="E23" s="1"/>
      <c r="G23" s="31"/>
      <c r="H23" s="58">
        <v>7194</v>
      </c>
      <c r="I23" s="70"/>
      <c r="J23" s="59">
        <v>5408</v>
      </c>
      <c r="K23" s="57"/>
      <c r="L23" s="71">
        <v>26500</v>
      </c>
      <c r="M23" s="72">
        <v>-11000</v>
      </c>
      <c r="N23" s="67">
        <v>18000</v>
      </c>
      <c r="O23" s="47" t="s">
        <v>37</v>
      </c>
      <c r="P23" s="58">
        <v>8000</v>
      </c>
      <c r="Q23" s="75">
        <v>11000</v>
      </c>
      <c r="R23" s="58">
        <v>13583</v>
      </c>
      <c r="S23" s="50"/>
      <c r="T23" s="58">
        <v>1929</v>
      </c>
      <c r="U23" s="50"/>
      <c r="V23" s="58">
        <v>1799</v>
      </c>
      <c r="W23" s="50"/>
      <c r="X23" s="58">
        <v>1982</v>
      </c>
      <c r="Y23" s="74"/>
      <c r="Z23" s="58">
        <v>1972.95</v>
      </c>
      <c r="AA23" s="50"/>
      <c r="AB23" s="58">
        <v>1958.47</v>
      </c>
      <c r="AC23" s="50"/>
      <c r="AD23" s="60">
        <v>3106.46</v>
      </c>
      <c r="AE23" s="50"/>
      <c r="AF23" s="50"/>
    </row>
    <row r="24" spans="1:44" ht="15.75" thickBot="1" x14ac:dyDescent="0.3">
      <c r="A24" s="40"/>
      <c r="H24" s="50"/>
      <c r="I24" s="50"/>
      <c r="J24" s="50"/>
      <c r="K24" s="50"/>
      <c r="L24" s="57"/>
      <c r="M24" s="50"/>
      <c r="N24" s="50"/>
      <c r="O24" s="1"/>
      <c r="P24" s="50"/>
      <c r="Q24" s="74"/>
      <c r="R24" s="50"/>
      <c r="S24" s="50"/>
      <c r="T24" s="50"/>
      <c r="U24" s="50"/>
      <c r="V24" s="50"/>
      <c r="W24" s="50"/>
      <c r="X24" s="50"/>
      <c r="Y24" s="74"/>
      <c r="Z24" s="50"/>
      <c r="AA24" s="50"/>
      <c r="AB24" s="50"/>
      <c r="AC24" s="50"/>
      <c r="AD24" s="50"/>
      <c r="AE24" s="50"/>
      <c r="AF24" s="50"/>
    </row>
    <row r="25" spans="1:44" ht="15.75" thickBot="1" x14ac:dyDescent="0.3">
      <c r="A25" s="15"/>
      <c r="B25" s="15"/>
      <c r="C25" s="1"/>
      <c r="D25" s="29" t="s">
        <v>7</v>
      </c>
      <c r="E25" s="1"/>
      <c r="F25" s="2"/>
      <c r="G25" s="7"/>
      <c r="H25" s="58">
        <v>500</v>
      </c>
      <c r="I25" s="50"/>
      <c r="J25" s="58">
        <v>500</v>
      </c>
      <c r="K25" s="50"/>
      <c r="L25" s="58">
        <v>500</v>
      </c>
      <c r="M25" s="50"/>
      <c r="N25" s="58">
        <v>500</v>
      </c>
      <c r="O25" s="16"/>
      <c r="P25" s="58">
        <v>800</v>
      </c>
      <c r="Q25" s="74"/>
      <c r="R25" s="58">
        <v>500</v>
      </c>
      <c r="S25" s="50"/>
      <c r="T25" s="58">
        <v>1000</v>
      </c>
      <c r="U25" s="5"/>
      <c r="V25" s="58">
        <v>900</v>
      </c>
      <c r="W25" s="50"/>
      <c r="X25" s="58">
        <v>500</v>
      </c>
      <c r="Y25" s="92">
        <v>400</v>
      </c>
      <c r="Z25" s="58">
        <v>700</v>
      </c>
      <c r="AA25" s="50"/>
      <c r="AB25" s="58">
        <v>800</v>
      </c>
      <c r="AC25" s="50"/>
      <c r="AD25" s="58">
        <v>500</v>
      </c>
      <c r="AE25" s="50"/>
      <c r="AF25" s="50"/>
    </row>
    <row r="26" spans="1:44" ht="15.75" thickBot="1" x14ac:dyDescent="0.3">
      <c r="A26" s="15"/>
      <c r="B26" s="15"/>
      <c r="H26" s="50"/>
      <c r="I26" s="50"/>
      <c r="J26" s="50"/>
      <c r="K26" s="50"/>
      <c r="L26" s="50"/>
      <c r="M26" s="50"/>
      <c r="N26" s="50"/>
      <c r="O26" s="50"/>
      <c r="P26" s="50"/>
      <c r="Q26" s="74"/>
      <c r="R26" s="50"/>
      <c r="S26" s="50"/>
      <c r="T26" s="50"/>
      <c r="U26" s="50"/>
      <c r="V26" s="50"/>
      <c r="W26" s="50"/>
      <c r="X26" s="50"/>
      <c r="Y26" s="74"/>
      <c r="Z26" s="50"/>
      <c r="AA26" s="50"/>
      <c r="AB26" s="50"/>
      <c r="AC26" s="50"/>
      <c r="AD26" s="50"/>
      <c r="AE26" s="50"/>
      <c r="AF26" s="50"/>
    </row>
    <row r="27" spans="1:44" ht="15.75" thickBot="1" x14ac:dyDescent="0.3">
      <c r="A27" s="15"/>
      <c r="B27" s="15"/>
      <c r="D27" s="39" t="s">
        <v>8</v>
      </c>
      <c r="E27" s="1"/>
      <c r="G27" s="7"/>
      <c r="H27" s="58">
        <v>6000</v>
      </c>
      <c r="I27" s="50"/>
      <c r="J27" s="61">
        <v>6100</v>
      </c>
      <c r="K27" s="50"/>
      <c r="L27" s="59">
        <v>4700</v>
      </c>
      <c r="M27" s="50"/>
      <c r="N27" s="58">
        <v>5400</v>
      </c>
      <c r="O27" s="80" t="s">
        <v>8</v>
      </c>
      <c r="P27" s="58">
        <v>4200</v>
      </c>
      <c r="Q27" s="74"/>
      <c r="R27" s="58">
        <v>7200</v>
      </c>
      <c r="S27" s="50"/>
      <c r="T27" s="58">
        <v>12500</v>
      </c>
      <c r="U27" s="51"/>
      <c r="V27" s="58">
        <v>7500</v>
      </c>
      <c r="W27" s="51"/>
      <c r="X27" s="58">
        <v>4800</v>
      </c>
      <c r="Y27" s="74"/>
      <c r="Z27" s="58">
        <v>8500</v>
      </c>
      <c r="AA27" s="50"/>
      <c r="AB27" s="58">
        <v>10000</v>
      </c>
      <c r="AC27" s="50"/>
      <c r="AD27" s="58">
        <v>11000</v>
      </c>
      <c r="AE27" s="58">
        <v>4000</v>
      </c>
      <c r="AF27" s="50"/>
    </row>
    <row r="28" spans="1:44" x14ac:dyDescent="0.25">
      <c r="A28" s="15"/>
      <c r="B28" s="15"/>
      <c r="H28" s="50"/>
      <c r="I28" s="50"/>
      <c r="J28" s="50"/>
      <c r="K28" s="50"/>
      <c r="L28" s="50"/>
      <c r="M28" s="50"/>
      <c r="N28" s="50"/>
      <c r="O28" s="50"/>
      <c r="P28" s="50"/>
      <c r="Q28" s="74"/>
      <c r="R28" s="50"/>
      <c r="S28" s="50"/>
      <c r="T28" s="50"/>
      <c r="U28" s="50"/>
      <c r="V28" s="50"/>
      <c r="W28" s="50"/>
      <c r="X28" s="50"/>
      <c r="Y28" s="74"/>
      <c r="Z28" s="50"/>
      <c r="AA28" s="50"/>
      <c r="AB28" s="50"/>
      <c r="AC28" s="50"/>
      <c r="AD28" s="50"/>
      <c r="AE28" s="50"/>
      <c r="AF28" s="50"/>
    </row>
    <row r="29" spans="1:44" ht="15.75" thickBot="1" x14ac:dyDescent="0.3">
      <c r="A29" s="12"/>
      <c r="B29" s="8"/>
      <c r="C29" s="1" t="s">
        <v>9</v>
      </c>
      <c r="D29" s="1"/>
      <c r="H29" s="50"/>
      <c r="I29" s="50"/>
      <c r="J29" s="50"/>
      <c r="K29" s="50"/>
      <c r="L29" s="50"/>
      <c r="M29" s="73"/>
      <c r="N29" s="50"/>
      <c r="O29" s="74"/>
      <c r="P29" s="50"/>
      <c r="Q29" s="50"/>
      <c r="R29" s="50"/>
      <c r="S29" s="50"/>
      <c r="T29" s="50"/>
      <c r="U29" s="50"/>
      <c r="V29" s="50"/>
      <c r="W29" s="74"/>
      <c r="X29" s="50"/>
      <c r="Y29" s="50"/>
      <c r="Z29" s="50"/>
      <c r="AA29" s="50"/>
      <c r="AB29" s="50"/>
      <c r="AC29" s="50"/>
      <c r="AD29" s="50"/>
      <c r="AL29" s="22"/>
      <c r="AM29" s="22"/>
      <c r="AN29" s="22"/>
      <c r="AQ29" t="s">
        <v>18</v>
      </c>
      <c r="AR29">
        <v>2000</v>
      </c>
    </row>
    <row r="30" spans="1:44" ht="15.75" thickBot="1" x14ac:dyDescent="0.3">
      <c r="A30" s="7"/>
      <c r="B30" s="7"/>
      <c r="C30" s="1" t="s">
        <v>10</v>
      </c>
      <c r="D30" s="1"/>
      <c r="H30" s="50"/>
      <c r="I30" s="50"/>
      <c r="J30" s="50"/>
      <c r="K30" s="50"/>
      <c r="L30" s="50"/>
      <c r="M30" s="50"/>
      <c r="N30" s="50"/>
      <c r="O30" s="76"/>
      <c r="P30" s="50"/>
      <c r="Q30" s="50"/>
      <c r="R30" s="50"/>
      <c r="S30" s="51"/>
      <c r="T30" s="50"/>
      <c r="U30" s="50"/>
      <c r="V30" s="50"/>
      <c r="W30" s="74"/>
      <c r="X30" s="50"/>
      <c r="Y30" s="50"/>
      <c r="Z30" s="50"/>
      <c r="AA30" s="50"/>
      <c r="AB30" s="50"/>
      <c r="AC30" s="50"/>
      <c r="AD30" s="50"/>
      <c r="AP30" s="100"/>
    </row>
    <row r="31" spans="1:44" x14ac:dyDescent="0.25">
      <c r="A31" s="19"/>
      <c r="C31" s="1" t="s">
        <v>11</v>
      </c>
      <c r="D31" s="1"/>
      <c r="H31" s="50"/>
      <c r="I31" s="50"/>
      <c r="J31" s="50"/>
      <c r="K31" s="50"/>
      <c r="L31" s="50"/>
      <c r="M31" s="50"/>
      <c r="N31" s="50"/>
      <c r="O31" s="74"/>
      <c r="P31" s="50"/>
      <c r="Q31" s="50"/>
      <c r="R31" s="50"/>
      <c r="S31" s="50"/>
      <c r="T31" s="50"/>
      <c r="U31" s="50"/>
      <c r="V31" s="50"/>
      <c r="W31" s="74"/>
      <c r="X31" s="50"/>
      <c r="Y31" s="50"/>
      <c r="Z31" s="50"/>
      <c r="AA31" s="50"/>
      <c r="AB31" s="50"/>
      <c r="AC31" s="50"/>
      <c r="AD31" s="50"/>
    </row>
    <row r="32" spans="1:44" x14ac:dyDescent="0.25">
      <c r="A32" s="7"/>
      <c r="C32" s="1" t="s">
        <v>12</v>
      </c>
      <c r="D32" s="1"/>
      <c r="H32" s="50"/>
      <c r="I32" s="50"/>
      <c r="J32" s="50"/>
      <c r="K32" s="50"/>
      <c r="L32" s="50"/>
      <c r="M32" s="50"/>
      <c r="N32" s="50"/>
      <c r="O32" s="50"/>
      <c r="X32" s="50"/>
      <c r="Y32" s="50"/>
      <c r="Z32" s="50"/>
      <c r="AA32" s="50"/>
      <c r="AB32" s="50"/>
      <c r="AC32" s="50"/>
      <c r="AD32" s="50"/>
      <c r="AH32" s="21"/>
    </row>
    <row r="33" spans="1:32" x14ac:dyDescent="0.25">
      <c r="A33" s="7"/>
      <c r="C33" s="11" t="s">
        <v>13</v>
      </c>
      <c r="D33" s="11" t="s">
        <v>14</v>
      </c>
      <c r="F33"/>
      <c r="G33" s="30"/>
      <c r="Z33" s="50"/>
      <c r="AA33" s="50"/>
      <c r="AB33" s="50"/>
      <c r="AC33" s="50"/>
      <c r="AD33" s="50"/>
      <c r="AE33" s="50"/>
      <c r="AF33" s="50"/>
    </row>
    <row r="34" spans="1:32" x14ac:dyDescent="0.25">
      <c r="A34" s="7"/>
      <c r="C34" s="11" t="s">
        <v>16</v>
      </c>
      <c r="D34" s="11"/>
      <c r="E34" s="6"/>
      <c r="F34"/>
      <c r="G34" s="30"/>
      <c r="I34" s="6"/>
      <c r="Z34" s="50"/>
      <c r="AA34" s="50"/>
      <c r="AB34" s="50"/>
      <c r="AC34" s="50"/>
      <c r="AD34" s="50"/>
      <c r="AE34" s="50"/>
      <c r="AF34" s="50"/>
    </row>
    <row r="35" spans="1:32" x14ac:dyDescent="0.25">
      <c r="A35" s="7"/>
      <c r="C35" s="11" t="s">
        <v>15</v>
      </c>
      <c r="D35" s="11"/>
      <c r="E35" s="27"/>
      <c r="F35"/>
      <c r="Z35" s="50"/>
      <c r="AA35" s="50"/>
      <c r="AB35" s="50"/>
      <c r="AC35" s="50"/>
      <c r="AD35" s="50"/>
      <c r="AE35" s="50"/>
      <c r="AF35" s="50"/>
    </row>
    <row r="36" spans="1:32" x14ac:dyDescent="0.25">
      <c r="A36" s="7"/>
      <c r="C36" s="1"/>
      <c r="E36" s="28"/>
      <c r="F36"/>
      <c r="Z36" s="89"/>
      <c r="AA36" s="50"/>
      <c r="AB36" s="50"/>
      <c r="AC36" s="50"/>
      <c r="AD36" s="50"/>
      <c r="AE36" s="50"/>
      <c r="AF36" s="50"/>
    </row>
    <row r="37" spans="1:32" x14ac:dyDescent="0.25">
      <c r="A37" s="7"/>
      <c r="B37" s="2"/>
      <c r="C37" s="3"/>
      <c r="E37" s="17"/>
      <c r="F37"/>
      <c r="Z37" s="50"/>
      <c r="AA37" s="50"/>
      <c r="AB37" s="50"/>
      <c r="AC37" s="50"/>
      <c r="AD37" s="50"/>
      <c r="AE37" s="50"/>
      <c r="AF37" s="50"/>
    </row>
    <row r="38" spans="1:32" x14ac:dyDescent="0.25">
      <c r="A38" s="7"/>
      <c r="B38" s="3"/>
      <c r="C38" s="3"/>
      <c r="E38" s="26"/>
      <c r="F38"/>
      <c r="H38" s="1"/>
      <c r="Z38" s="50"/>
      <c r="AA38" s="50"/>
      <c r="AB38" s="50"/>
      <c r="AC38" s="50"/>
      <c r="AD38" s="50"/>
      <c r="AE38" s="50"/>
      <c r="AF38" s="50"/>
    </row>
    <row r="39" spans="1:32" x14ac:dyDescent="0.25">
      <c r="A39" s="9"/>
      <c r="B39" s="2"/>
      <c r="C39" s="2"/>
      <c r="Z39" s="50"/>
      <c r="AA39" s="50"/>
      <c r="AB39" s="50"/>
      <c r="AC39" s="50"/>
      <c r="AD39" s="50"/>
      <c r="AE39" s="50"/>
      <c r="AF39" s="50"/>
    </row>
    <row r="40" spans="1:32" x14ac:dyDescent="0.25">
      <c r="A40" s="14"/>
      <c r="B40" s="8"/>
      <c r="Z40" s="50"/>
      <c r="AA40" s="50"/>
      <c r="AB40" s="50"/>
      <c r="AC40" s="50"/>
      <c r="AD40" s="50"/>
      <c r="AE40" s="50"/>
      <c r="AF40" s="50"/>
    </row>
    <row r="41" spans="1:32" x14ac:dyDescent="0.25">
      <c r="A41" s="9"/>
      <c r="B41" s="7"/>
      <c r="E41" s="4"/>
      <c r="F41" s="4"/>
      <c r="G41" s="1"/>
      <c r="H41" s="21"/>
      <c r="K41" s="11"/>
      <c r="N41" s="1"/>
      <c r="Z41" s="50"/>
      <c r="AA41" s="50"/>
      <c r="AB41" s="50"/>
      <c r="AC41" s="50"/>
      <c r="AD41" s="50"/>
      <c r="AE41" s="50"/>
      <c r="AF41" s="50"/>
    </row>
    <row r="42" spans="1:32" x14ac:dyDescent="0.25">
      <c r="A42" s="9"/>
      <c r="B42" s="7"/>
      <c r="E42" s="7"/>
      <c r="F42" s="7"/>
      <c r="G42" s="1" t="s">
        <v>19</v>
      </c>
      <c r="I42" s="7"/>
      <c r="N42" s="1"/>
      <c r="Z42" s="50"/>
      <c r="AA42" s="50"/>
      <c r="AB42" s="50"/>
      <c r="AC42" s="50"/>
      <c r="AD42" s="50"/>
      <c r="AE42" s="50"/>
      <c r="AF42" s="50"/>
    </row>
    <row r="43" spans="1:32" x14ac:dyDescent="0.25">
      <c r="A43" s="9"/>
      <c r="B43" s="7"/>
      <c r="E43" s="1"/>
      <c r="G43" s="1"/>
      <c r="H43" s="21"/>
      <c r="N43" s="1"/>
      <c r="Z43" s="50"/>
      <c r="AA43" s="50"/>
      <c r="AB43" s="50"/>
      <c r="AC43" s="50"/>
      <c r="AD43" s="50"/>
      <c r="AE43" s="50"/>
      <c r="AF43" s="50"/>
    </row>
    <row r="44" spans="1:32" x14ac:dyDescent="0.25">
      <c r="A44" s="9"/>
      <c r="B44" s="7"/>
      <c r="E44" s="1"/>
      <c r="G44" s="1"/>
      <c r="H44" s="21"/>
      <c r="N44" s="1"/>
      <c r="Z44" s="50"/>
      <c r="AA44" s="50"/>
      <c r="AB44" s="50"/>
      <c r="AC44" s="50"/>
      <c r="AD44" s="50"/>
      <c r="AE44" s="50"/>
      <c r="AF44" s="50"/>
    </row>
    <row r="45" spans="1:32" x14ac:dyDescent="0.25">
      <c r="A45" s="20"/>
      <c r="B45" s="7"/>
      <c r="E45" s="1"/>
      <c r="G45" s="13"/>
      <c r="H45" s="1"/>
      <c r="N45" s="1"/>
      <c r="Z45" s="50"/>
      <c r="AA45" s="50"/>
      <c r="AB45" s="50"/>
      <c r="AC45" s="50"/>
      <c r="AD45" s="50"/>
      <c r="AE45" s="50"/>
      <c r="AF45" s="50"/>
    </row>
    <row r="46" spans="1:32" x14ac:dyDescent="0.25">
      <c r="A46" s="9"/>
      <c r="E46" s="11"/>
      <c r="F46" s="11"/>
      <c r="G46" s="11"/>
      <c r="H46" s="11"/>
      <c r="I46" s="11"/>
      <c r="J46" s="1"/>
      <c r="P46" s="1"/>
      <c r="Z46" s="50"/>
      <c r="AA46" s="50"/>
      <c r="AB46" s="50"/>
      <c r="AC46" s="50"/>
      <c r="AD46" s="50"/>
      <c r="AE46" s="50"/>
      <c r="AF46" s="50"/>
    </row>
    <row r="47" spans="1:32" x14ac:dyDescent="0.25">
      <c r="A47" s="9"/>
      <c r="E47" s="21"/>
      <c r="F47" s="23"/>
      <c r="G47" s="24"/>
      <c r="H47" s="25"/>
      <c r="I47" s="11"/>
      <c r="J47" s="11"/>
      <c r="Z47" s="50"/>
      <c r="AA47" s="50"/>
      <c r="AB47" s="50"/>
      <c r="AC47" s="50"/>
      <c r="AD47" s="50"/>
      <c r="AE47" s="50"/>
      <c r="AF47" s="50"/>
    </row>
    <row r="48" spans="1:32" x14ac:dyDescent="0.25">
      <c r="A48" s="9"/>
      <c r="E48" s="11"/>
      <c r="F48" s="11"/>
      <c r="G48" s="11"/>
      <c r="H48" s="11"/>
      <c r="I48" s="11"/>
      <c r="J48" s="11"/>
    </row>
    <row r="49" spans="1:25" x14ac:dyDescent="0.25">
      <c r="A49" s="9"/>
      <c r="E49" s="1"/>
      <c r="G49" s="1"/>
      <c r="H49" s="1"/>
    </row>
    <row r="50" spans="1:25" ht="15.75" thickBot="1" x14ac:dyDescent="0.3">
      <c r="A50" s="9"/>
      <c r="C50" s="2"/>
      <c r="D50" s="2"/>
      <c r="E50" s="1"/>
      <c r="G50" s="1"/>
      <c r="H50" s="1"/>
    </row>
    <row r="51" spans="1:25" ht="15.75" thickBot="1" x14ac:dyDescent="0.3">
      <c r="A51" s="10"/>
      <c r="Y51" s="10"/>
    </row>
    <row r="52" spans="1:25" x14ac:dyDescent="0.25">
      <c r="A52" s="7"/>
    </row>
    <row r="53" spans="1:25" x14ac:dyDescent="0.25">
      <c r="A53" s="7"/>
    </row>
    <row r="54" spans="1:25" x14ac:dyDescent="0.25">
      <c r="A54" s="7"/>
    </row>
    <row r="55" spans="1:25" x14ac:dyDescent="0.25">
      <c r="A55" s="7"/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3"/>
  <sheetViews>
    <sheetView topLeftCell="A70" zoomScale="115" zoomScaleNormal="115" workbookViewId="0">
      <selection activeCell="F85" sqref="F85"/>
    </sheetView>
  </sheetViews>
  <sheetFormatPr baseColWidth="10" defaultColWidth="9.140625" defaultRowHeight="15" outlineLevelCol="1" x14ac:dyDescent="0.25"/>
  <cols>
    <col min="1" max="1" width="20" customWidth="1"/>
    <col min="2" max="2" width="16.85546875" customWidth="1"/>
    <col min="3" max="3" width="19.5703125" customWidth="1"/>
    <col min="4" max="4" width="16.140625" style="7" customWidth="1"/>
    <col min="5" max="5" width="14.28515625" customWidth="1"/>
    <col min="6" max="6" width="14.28515625" customWidth="1" outlineLevel="1"/>
    <col min="7" max="7" width="13.42578125" customWidth="1" outlineLevel="1"/>
    <col min="8" max="8" width="16.140625" customWidth="1"/>
    <col min="9" max="9" width="15" customWidth="1" outlineLevel="1"/>
    <col min="10" max="10" width="12.5703125" customWidth="1" outlineLevel="1"/>
    <col min="11" max="11" width="12.5703125" customWidth="1"/>
    <col min="12" max="12" width="12" customWidth="1"/>
    <col min="13" max="13" width="0.140625" customWidth="1"/>
    <col min="14" max="14" width="10" customWidth="1"/>
    <col min="19" max="19" width="9.140625" style="1"/>
    <col min="21" max="29" width="9.140625" style="50"/>
  </cols>
  <sheetData>
    <row r="1" spans="1:29" x14ac:dyDescent="0.25">
      <c r="A1" s="105" t="s">
        <v>53</v>
      </c>
      <c r="B1" s="146" t="s">
        <v>63</v>
      </c>
      <c r="C1" s="50"/>
      <c r="D1" s="147" t="s">
        <v>64</v>
      </c>
      <c r="E1" s="50"/>
      <c r="F1" s="212" t="s">
        <v>157</v>
      </c>
      <c r="G1" s="50"/>
      <c r="H1" s="261" t="s">
        <v>170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AB1"/>
      <c r="AC1"/>
    </row>
    <row r="2" spans="1:29" ht="15.75" thickBot="1" x14ac:dyDescent="0.3">
      <c r="A2" s="106">
        <v>2025</v>
      </c>
      <c r="B2" s="50"/>
      <c r="C2" s="50"/>
      <c r="D2" s="74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AB2"/>
      <c r="AC2"/>
    </row>
    <row r="3" spans="1:29" ht="16.5" thickBot="1" x14ac:dyDescent="0.3">
      <c r="A3" s="114" t="s">
        <v>0</v>
      </c>
      <c r="B3" s="50"/>
      <c r="C3" s="50"/>
      <c r="D3" s="74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AB3"/>
      <c r="AC3"/>
    </row>
    <row r="4" spans="1:29" x14ac:dyDescent="0.25">
      <c r="A4" s="48" t="s">
        <v>1</v>
      </c>
      <c r="B4" s="59">
        <v>31615</v>
      </c>
      <c r="C4" s="50"/>
      <c r="D4" s="234">
        <v>19962</v>
      </c>
      <c r="E4" s="50"/>
      <c r="F4" s="102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AB4"/>
      <c r="AC4"/>
    </row>
    <row r="5" spans="1:29" x14ac:dyDescent="0.25">
      <c r="A5" s="48" t="s">
        <v>2</v>
      </c>
      <c r="B5" s="59">
        <v>17524.28</v>
      </c>
      <c r="C5" s="50"/>
      <c r="D5" s="178">
        <v>17600.96</v>
      </c>
      <c r="E5" s="177"/>
      <c r="F5" s="68">
        <v>16996</v>
      </c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AB5"/>
      <c r="AC5"/>
    </row>
    <row r="6" spans="1:29" x14ac:dyDescent="0.25">
      <c r="A6" s="48" t="s">
        <v>3</v>
      </c>
      <c r="B6" s="59">
        <v>9444.76</v>
      </c>
      <c r="C6" s="50"/>
      <c r="D6" s="178">
        <v>9638.5400000000009</v>
      </c>
      <c r="E6" s="74"/>
      <c r="F6" s="178">
        <v>9444.76</v>
      </c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AB6"/>
      <c r="AC6"/>
    </row>
    <row r="7" spans="1:29" x14ac:dyDescent="0.25">
      <c r="A7" s="48" t="s">
        <v>62</v>
      </c>
      <c r="B7" s="59">
        <v>28450</v>
      </c>
      <c r="C7" s="50"/>
      <c r="D7" s="234">
        <v>29480</v>
      </c>
      <c r="E7" s="74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AB7"/>
      <c r="AC7"/>
    </row>
    <row r="8" spans="1:29" ht="15.75" thickBot="1" x14ac:dyDescent="0.3">
      <c r="A8" s="49" t="s">
        <v>55</v>
      </c>
      <c r="B8" s="59">
        <v>10300</v>
      </c>
      <c r="C8" s="50"/>
      <c r="D8" s="178">
        <v>11000</v>
      </c>
      <c r="E8" s="177">
        <v>45935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AB8"/>
      <c r="AC8"/>
    </row>
    <row r="9" spans="1:29" ht="15.75" thickBot="1" x14ac:dyDescent="0.3">
      <c r="A9" s="35" t="s">
        <v>5</v>
      </c>
      <c r="B9" s="50"/>
      <c r="C9" s="50"/>
      <c r="D9" s="74"/>
      <c r="E9" s="74"/>
      <c r="F9" s="50"/>
      <c r="G9" s="50"/>
      <c r="H9" s="51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AB9"/>
      <c r="AC9"/>
    </row>
    <row r="10" spans="1:29" x14ac:dyDescent="0.25">
      <c r="A10" s="122" t="s">
        <v>6</v>
      </c>
      <c r="B10" s="150">
        <v>16568</v>
      </c>
      <c r="C10" s="50"/>
      <c r="D10" s="216">
        <v>16568</v>
      </c>
      <c r="E10" s="177">
        <v>45924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AB10"/>
      <c r="AC10"/>
    </row>
    <row r="11" spans="1:29" ht="15.75" thickBot="1" x14ac:dyDescent="0.3">
      <c r="A11" s="115" t="s">
        <v>30</v>
      </c>
      <c r="B11" s="50"/>
      <c r="C11" s="50"/>
      <c r="D11" s="136"/>
      <c r="E11" s="74"/>
      <c r="F11" s="50"/>
      <c r="G11" s="50"/>
      <c r="H11" s="50"/>
      <c r="I11" s="50"/>
      <c r="J11" s="209" t="s">
        <v>67</v>
      </c>
      <c r="K11" s="208" t="s">
        <v>55</v>
      </c>
      <c r="L11" s="156" t="s">
        <v>68</v>
      </c>
      <c r="M11" s="50"/>
      <c r="N11" s="50"/>
      <c r="O11" s="50"/>
      <c r="P11" s="50"/>
      <c r="Q11" s="50"/>
      <c r="R11" s="50"/>
      <c r="S11" s="50"/>
      <c r="T11" s="50"/>
      <c r="AB11"/>
      <c r="AC11"/>
    </row>
    <row r="12" spans="1:29" ht="16.5" thickBot="1" x14ac:dyDescent="0.3">
      <c r="A12" s="113" t="s">
        <v>34</v>
      </c>
      <c r="B12" s="151"/>
      <c r="C12" s="50"/>
      <c r="D12" s="195"/>
      <c r="E12" s="74"/>
      <c r="F12" s="50"/>
      <c r="G12" s="50"/>
      <c r="H12" s="50"/>
      <c r="I12" s="50"/>
      <c r="J12" s="101">
        <v>2800.93</v>
      </c>
      <c r="K12" s="153">
        <v>3350</v>
      </c>
      <c r="L12" s="50">
        <v>12000</v>
      </c>
      <c r="M12" s="50"/>
      <c r="N12" s="50"/>
      <c r="O12" s="50"/>
      <c r="P12" s="50"/>
      <c r="Q12" s="50"/>
      <c r="R12" s="50"/>
      <c r="S12" s="50"/>
      <c r="T12" s="50"/>
      <c r="AB12"/>
      <c r="AC12"/>
    </row>
    <row r="13" spans="1:29" ht="15.75" thickBot="1" x14ac:dyDescent="0.3">
      <c r="A13" s="214" t="s">
        <v>66</v>
      </c>
      <c r="C13" s="50"/>
      <c r="D13" s="215"/>
      <c r="E13" s="74"/>
      <c r="F13" s="50"/>
      <c r="G13" s="50"/>
      <c r="H13" s="50"/>
      <c r="I13" s="50"/>
      <c r="J13">
        <v>3156</v>
      </c>
      <c r="K13" s="50">
        <v>4650</v>
      </c>
      <c r="L13" s="50">
        <v>12000</v>
      </c>
      <c r="M13" s="50"/>
      <c r="N13" s="50"/>
      <c r="O13" s="50"/>
      <c r="P13" s="50"/>
      <c r="Q13" s="50"/>
      <c r="R13" s="50"/>
      <c r="S13" s="50"/>
      <c r="T13" s="50"/>
      <c r="AB13"/>
      <c r="AC13"/>
    </row>
    <row r="14" spans="1:29" ht="15.75" thickBot="1" x14ac:dyDescent="0.3">
      <c r="A14" s="206" t="s">
        <v>57</v>
      </c>
      <c r="B14" s="176">
        <v>78085.05</v>
      </c>
      <c r="C14" s="50"/>
      <c r="D14" s="150">
        <v>90429</v>
      </c>
      <c r="E14" s="149">
        <v>337000</v>
      </c>
      <c r="F14" s="50"/>
      <c r="G14" s="50"/>
      <c r="H14" s="141"/>
      <c r="I14" s="50"/>
      <c r="J14" s="101">
        <v>3052.98</v>
      </c>
      <c r="K14" s="50">
        <v>3350</v>
      </c>
      <c r="L14" s="50">
        <v>6000</v>
      </c>
      <c r="M14" s="101"/>
      <c r="N14" s="50"/>
      <c r="O14" s="50"/>
      <c r="P14" s="50"/>
      <c r="Q14" s="50"/>
      <c r="R14" s="50"/>
      <c r="S14" s="50"/>
      <c r="T14" s="50"/>
      <c r="AB14"/>
      <c r="AC14"/>
    </row>
    <row r="15" spans="1:29" s="1" customFormat="1" ht="15.75" thickBot="1" x14ac:dyDescent="0.3">
      <c r="A15" s="207" t="s">
        <v>60</v>
      </c>
      <c r="B15" s="148" t="s">
        <v>65</v>
      </c>
      <c r="C15" s="50"/>
      <c r="D15" s="201">
        <v>6520</v>
      </c>
      <c r="E15" s="74"/>
      <c r="F15" s="58">
        <v>13226</v>
      </c>
      <c r="G15" s="213" t="s">
        <v>65</v>
      </c>
      <c r="H15" s="50"/>
      <c r="I15" s="50"/>
      <c r="J15" s="101">
        <v>2561.0100000000002</v>
      </c>
      <c r="K15" s="102">
        <v>4650</v>
      </c>
      <c r="L15" s="50">
        <v>12000</v>
      </c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</row>
    <row r="16" spans="1:29" ht="15.75" thickBot="1" x14ac:dyDescent="0.3">
      <c r="A16" s="205" t="s">
        <v>50</v>
      </c>
      <c r="B16" s="152">
        <v>364155.38</v>
      </c>
      <c r="C16" s="172"/>
      <c r="D16" s="216">
        <v>316209</v>
      </c>
      <c r="E16" s="149">
        <v>807000</v>
      </c>
      <c r="F16" s="50"/>
      <c r="G16" s="50"/>
      <c r="H16" s="50"/>
      <c r="I16" s="50"/>
      <c r="J16" s="210">
        <v>2994.75</v>
      </c>
      <c r="K16" s="165">
        <f>SUM(K12:K15)</f>
        <v>16000</v>
      </c>
      <c r="L16" s="129">
        <v>6000</v>
      </c>
      <c r="M16" s="101"/>
      <c r="N16" s="50"/>
      <c r="O16" s="50"/>
      <c r="P16" s="50"/>
      <c r="Q16" s="50"/>
      <c r="R16" s="50"/>
      <c r="S16" s="50"/>
      <c r="T16" s="50"/>
      <c r="AB16"/>
      <c r="AC16"/>
    </row>
    <row r="17" spans="1:29" s="1" customFormat="1" ht="15.75" thickBot="1" x14ac:dyDescent="0.3">
      <c r="A17" s="144" t="s">
        <v>32</v>
      </c>
      <c r="B17" s="136"/>
      <c r="C17" s="175"/>
      <c r="D17" s="252">
        <v>345000</v>
      </c>
      <c r="E17" s="177"/>
      <c r="F17" s="50"/>
      <c r="G17" s="102"/>
      <c r="H17" s="102"/>
      <c r="I17" s="102"/>
      <c r="J17" s="211">
        <f>SUM(J12:J16)</f>
        <v>14565.67</v>
      </c>
      <c r="K17" s="13"/>
      <c r="L17" s="165">
        <f>SUM(L12:L16)</f>
        <v>48000</v>
      </c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</row>
    <row r="18" spans="1:29" x14ac:dyDescent="0.25">
      <c r="A18" s="121" t="s">
        <v>61</v>
      </c>
      <c r="C18" s="74"/>
      <c r="D18" s="150">
        <v>100000</v>
      </c>
      <c r="E18" s="74"/>
      <c r="F18" s="74"/>
      <c r="G18" s="141"/>
      <c r="H18" s="51"/>
      <c r="I18" s="51"/>
      <c r="J18" s="112"/>
      <c r="K18" s="57"/>
      <c r="L18" s="57"/>
      <c r="M18" s="50"/>
      <c r="N18" s="50"/>
      <c r="O18" s="50"/>
      <c r="P18" s="50"/>
      <c r="Q18" s="50"/>
      <c r="R18" s="50"/>
      <c r="S18" s="50"/>
      <c r="T18" s="50"/>
      <c r="AB18"/>
      <c r="AC18"/>
    </row>
    <row r="19" spans="1:29" x14ac:dyDescent="0.25">
      <c r="A19" s="174" t="s">
        <v>149</v>
      </c>
      <c r="B19" s="51"/>
      <c r="C19" s="74"/>
      <c r="D19" s="150">
        <v>62268.24</v>
      </c>
      <c r="F19" s="218"/>
      <c r="G19" s="141"/>
      <c r="H19" s="51"/>
      <c r="I19" s="51"/>
      <c r="J19" s="112"/>
      <c r="K19" s="57"/>
      <c r="L19" s="57"/>
      <c r="M19" s="50"/>
      <c r="N19" s="50"/>
      <c r="O19" s="50"/>
      <c r="P19" s="50"/>
      <c r="Q19" s="50"/>
      <c r="R19" s="50"/>
      <c r="S19" s="50"/>
      <c r="T19" s="50"/>
      <c r="AB19"/>
      <c r="AC19"/>
    </row>
    <row r="20" spans="1:29" ht="15.75" thickBot="1" x14ac:dyDescent="0.3">
      <c r="A20" s="204" t="s">
        <v>150</v>
      </c>
      <c r="B20" s="89"/>
      <c r="C20" s="74"/>
      <c r="D20" s="141">
        <v>278617</v>
      </c>
      <c r="E20" s="136">
        <v>51506.85</v>
      </c>
      <c r="F20" s="74"/>
      <c r="G20" s="141"/>
      <c r="H20" s="51"/>
      <c r="I20" s="51"/>
      <c r="J20" s="112"/>
      <c r="K20" s="254"/>
      <c r="L20" s="57"/>
      <c r="M20" s="50"/>
      <c r="N20" s="50"/>
      <c r="O20" s="50"/>
      <c r="P20" s="50"/>
      <c r="Q20" s="50"/>
      <c r="R20" s="50"/>
      <c r="S20" s="50"/>
      <c r="T20" s="50"/>
      <c r="AB20"/>
      <c r="AC20"/>
    </row>
    <row r="21" spans="1:29" ht="15.75" thickBot="1" x14ac:dyDescent="0.3">
      <c r="A21" s="107" t="s">
        <v>51</v>
      </c>
      <c r="B21" s="50"/>
      <c r="C21" s="74"/>
      <c r="D21" s="51"/>
      <c r="E21" s="50"/>
      <c r="F21" s="74"/>
      <c r="G21" s="141"/>
      <c r="H21" s="51"/>
      <c r="I21" s="51"/>
      <c r="J21" s="209" t="s">
        <v>79</v>
      </c>
      <c r="K21" s="155" t="s">
        <v>55</v>
      </c>
      <c r="L21" s="156" t="s">
        <v>68</v>
      </c>
      <c r="M21" s="50"/>
      <c r="N21" s="50"/>
      <c r="O21" s="50"/>
      <c r="P21" s="50"/>
      <c r="Q21" s="50"/>
      <c r="R21" s="50"/>
      <c r="S21" s="50"/>
      <c r="T21" s="50"/>
      <c r="AB21"/>
      <c r="AC21"/>
    </row>
    <row r="22" spans="1:29" ht="15.75" thickBot="1" x14ac:dyDescent="0.3">
      <c r="A22" s="108" t="s">
        <v>52</v>
      </c>
      <c r="B22" s="50"/>
      <c r="C22" s="74"/>
      <c r="D22" s="51"/>
      <c r="E22" s="173"/>
      <c r="F22" s="74"/>
      <c r="G22" s="141"/>
      <c r="H22" s="50"/>
      <c r="I22" s="50"/>
      <c r="J22" s="101">
        <v>2620.98</v>
      </c>
      <c r="K22" s="50">
        <v>10300</v>
      </c>
      <c r="L22" s="102">
        <v>6000</v>
      </c>
      <c r="M22" s="50"/>
      <c r="N22" s="50"/>
      <c r="O22" s="50"/>
      <c r="P22" s="50"/>
      <c r="Q22" s="50"/>
      <c r="R22" s="50"/>
      <c r="S22" s="50"/>
      <c r="T22" s="50"/>
      <c r="AB22"/>
      <c r="AC22"/>
    </row>
    <row r="23" spans="1:29" ht="15.75" thickBot="1" x14ac:dyDescent="0.3">
      <c r="A23" s="109" t="s">
        <v>8</v>
      </c>
      <c r="B23" s="59">
        <v>119000</v>
      </c>
      <c r="C23" s="74"/>
      <c r="D23" s="51"/>
      <c r="E23" s="150">
        <v>50000</v>
      </c>
      <c r="F23" s="233"/>
      <c r="G23" s="141"/>
      <c r="H23" s="50"/>
      <c r="I23" s="50"/>
      <c r="J23" s="101">
        <v>2601.98</v>
      </c>
      <c r="K23" s="74"/>
      <c r="L23" s="50">
        <v>12000</v>
      </c>
      <c r="M23" s="50"/>
      <c r="N23" s="50"/>
      <c r="O23" s="50"/>
      <c r="P23" s="50"/>
      <c r="Q23" s="50"/>
      <c r="R23" s="50"/>
      <c r="S23" s="50"/>
      <c r="T23" s="50"/>
      <c r="AB23"/>
      <c r="AC23"/>
    </row>
    <row r="24" spans="1:29" ht="15.75" thickBot="1" x14ac:dyDescent="0.3">
      <c r="A24" s="110" t="s">
        <v>59</v>
      </c>
      <c r="B24" s="59">
        <v>20000</v>
      </c>
      <c r="C24" s="74"/>
      <c r="D24" s="51"/>
      <c r="E24" s="50"/>
      <c r="F24" s="74"/>
      <c r="G24" s="51"/>
      <c r="H24" s="51"/>
      <c r="I24" s="50"/>
      <c r="J24" s="129">
        <v>3001.99</v>
      </c>
      <c r="K24" s="102"/>
      <c r="L24" s="171">
        <v>12000</v>
      </c>
      <c r="M24" s="50"/>
      <c r="N24" s="50"/>
      <c r="O24" s="50"/>
      <c r="P24" s="50"/>
      <c r="Q24" s="50"/>
      <c r="R24" s="50"/>
      <c r="S24" s="50"/>
      <c r="T24" s="50"/>
      <c r="AB24"/>
      <c r="AC24"/>
    </row>
    <row r="25" spans="1:29" ht="15.75" thickBot="1" x14ac:dyDescent="0.3">
      <c r="A25" s="111" t="s">
        <v>54</v>
      </c>
      <c r="B25" s="50"/>
      <c r="C25" s="74"/>
      <c r="D25" s="51"/>
      <c r="E25" s="50"/>
      <c r="F25" s="202"/>
      <c r="G25" s="219"/>
      <c r="H25" s="153"/>
      <c r="I25" s="220"/>
      <c r="J25" s="217">
        <v>2207.92</v>
      </c>
      <c r="K25" s="165">
        <v>10300</v>
      </c>
      <c r="L25" s="165">
        <f>SUM(L22:L24)</f>
        <v>30000</v>
      </c>
      <c r="M25" s="50"/>
      <c r="N25" s="50"/>
      <c r="O25" s="50"/>
      <c r="P25" s="50"/>
      <c r="Q25" s="50"/>
      <c r="R25" s="50"/>
      <c r="S25" s="50"/>
      <c r="T25" s="50"/>
      <c r="AB25"/>
      <c r="AC25"/>
    </row>
    <row r="26" spans="1:29" ht="15.75" thickBot="1" x14ac:dyDescent="0.3">
      <c r="A26" s="57" t="s">
        <v>56</v>
      </c>
      <c r="B26" s="150">
        <v>74637</v>
      </c>
      <c r="C26" s="166"/>
      <c r="D26" s="150">
        <v>74637</v>
      </c>
      <c r="E26" s="133">
        <v>45919</v>
      </c>
      <c r="F26" s="202"/>
      <c r="G26" s="230"/>
      <c r="H26" s="102"/>
      <c r="I26" s="231"/>
      <c r="J26" s="165">
        <f>SUM(J22:J25)</f>
        <v>10432.870000000001</v>
      </c>
      <c r="K26" s="101"/>
      <c r="L26" s="50"/>
      <c r="M26" s="50"/>
      <c r="N26" s="50"/>
      <c r="O26" s="50"/>
      <c r="P26" s="50"/>
      <c r="Q26" s="50"/>
      <c r="R26" s="50"/>
      <c r="S26" s="50"/>
      <c r="T26" s="50"/>
      <c r="AB26"/>
      <c r="AC26"/>
    </row>
    <row r="27" spans="1:29" ht="15.75" thickBot="1" x14ac:dyDescent="0.3">
      <c r="A27" s="57" t="s">
        <v>58</v>
      </c>
      <c r="B27" s="50"/>
      <c r="C27" s="74"/>
      <c r="D27" s="50"/>
      <c r="E27" s="164"/>
      <c r="F27" s="226"/>
      <c r="G27" s="57"/>
      <c r="H27" s="235"/>
      <c r="I27" s="236"/>
      <c r="J27" s="228"/>
      <c r="K27" s="50"/>
      <c r="L27" s="50"/>
      <c r="M27" s="50"/>
      <c r="N27" s="50"/>
      <c r="O27" s="50"/>
      <c r="P27" s="50"/>
      <c r="Q27" s="50"/>
      <c r="R27" s="50"/>
      <c r="S27" s="50"/>
      <c r="T27" s="50"/>
      <c r="AB27"/>
      <c r="AC27"/>
    </row>
    <row r="28" spans="1:29" ht="15.75" thickBot="1" x14ac:dyDescent="0.3">
      <c r="A28" s="11" t="s">
        <v>80</v>
      </c>
      <c r="B28" s="59">
        <v>50000</v>
      </c>
      <c r="C28" s="74"/>
      <c r="D28" s="50"/>
      <c r="E28" s="164"/>
      <c r="F28" s="203"/>
      <c r="G28" s="50"/>
      <c r="H28" s="101"/>
      <c r="I28" s="221"/>
      <c r="J28" s="209" t="s">
        <v>148</v>
      </c>
      <c r="K28" s="155" t="s">
        <v>55</v>
      </c>
      <c r="L28" s="257" t="s">
        <v>68</v>
      </c>
      <c r="M28" s="50"/>
      <c r="N28" s="50"/>
      <c r="O28" s="50"/>
      <c r="P28" s="50"/>
      <c r="Q28" s="50"/>
      <c r="R28" s="50"/>
      <c r="S28" s="50"/>
      <c r="T28" s="50"/>
      <c r="AB28"/>
      <c r="AC28"/>
    </row>
    <row r="29" spans="1:29" x14ac:dyDescent="0.25">
      <c r="A29" s="87"/>
      <c r="B29" s="50"/>
      <c r="C29" s="154"/>
      <c r="D29" s="102"/>
      <c r="E29" s="170"/>
      <c r="F29" s="226"/>
      <c r="G29" s="50"/>
      <c r="H29" s="101"/>
      <c r="I29" s="221"/>
      <c r="J29" s="229">
        <v>2507.91</v>
      </c>
      <c r="K29" s="255">
        <v>11000</v>
      </c>
      <c r="L29" s="258">
        <v>12000</v>
      </c>
      <c r="M29" s="101"/>
      <c r="N29" s="50"/>
      <c r="O29" s="50"/>
      <c r="P29" s="50"/>
      <c r="Q29" s="50"/>
      <c r="R29" s="50"/>
      <c r="S29" s="50"/>
      <c r="T29" s="50"/>
      <c r="AB29"/>
      <c r="AC29"/>
    </row>
    <row r="30" spans="1:29" x14ac:dyDescent="0.25">
      <c r="A30" s="87"/>
      <c r="B30" s="238"/>
      <c r="C30" s="99"/>
      <c r="D30" s="99"/>
      <c r="E30" s="51"/>
      <c r="F30" s="227"/>
      <c r="G30" s="57"/>
      <c r="H30" s="129"/>
      <c r="I30" s="50"/>
      <c r="J30">
        <v>3203.96</v>
      </c>
      <c r="K30" s="256"/>
      <c r="L30" s="259">
        <v>6000</v>
      </c>
      <c r="M30" s="101"/>
      <c r="N30" s="50"/>
      <c r="O30" s="50"/>
      <c r="P30" s="50"/>
      <c r="Q30" s="50"/>
      <c r="R30" s="50"/>
      <c r="S30" s="50"/>
      <c r="T30" s="50"/>
      <c r="AB30"/>
      <c r="AC30"/>
    </row>
    <row r="31" spans="1:29" x14ac:dyDescent="0.25">
      <c r="A31" s="87"/>
      <c r="B31" s="222"/>
      <c r="C31" s="89"/>
      <c r="D31" s="246" t="s">
        <v>167</v>
      </c>
      <c r="E31" s="199"/>
      <c r="F31" s="116"/>
      <c r="G31" s="50"/>
      <c r="H31" s="50"/>
      <c r="I31" s="50"/>
      <c r="J31" s="229">
        <v>3658.01</v>
      </c>
      <c r="K31" s="256"/>
      <c r="L31" s="259">
        <v>12000</v>
      </c>
      <c r="M31" s="101"/>
      <c r="N31" s="50"/>
      <c r="O31" s="50"/>
      <c r="P31" s="50"/>
      <c r="Q31" s="50"/>
      <c r="R31" s="50"/>
      <c r="S31" s="50"/>
      <c r="T31" s="50"/>
      <c r="AB31"/>
      <c r="AC31"/>
    </row>
    <row r="32" spans="1:29" ht="15.75" thickBot="1" x14ac:dyDescent="0.3">
      <c r="A32" s="123"/>
      <c r="B32" s="87"/>
      <c r="C32" s="118" t="s">
        <v>168</v>
      </c>
      <c r="D32" s="237">
        <v>3801.42</v>
      </c>
      <c r="E32" s="239"/>
      <c r="F32" s="101"/>
      <c r="G32" s="232"/>
      <c r="H32" s="153"/>
      <c r="J32" s="102">
        <v>3130.95</v>
      </c>
      <c r="K32" s="74"/>
      <c r="L32" s="259">
        <v>1000</v>
      </c>
      <c r="M32" s="101"/>
      <c r="N32" s="50"/>
      <c r="O32" s="50"/>
      <c r="P32" s="50"/>
      <c r="Q32" s="50"/>
      <c r="R32" s="50"/>
      <c r="S32" s="50"/>
      <c r="T32" s="50"/>
      <c r="AB32"/>
      <c r="AC32"/>
    </row>
    <row r="33" spans="1:29" ht="15.75" thickBot="1" x14ac:dyDescent="0.3">
      <c r="A33" s="124"/>
      <c r="B33" s="222"/>
      <c r="C33" s="118" t="s">
        <v>168</v>
      </c>
      <c r="D33" s="237">
        <v>13403.46</v>
      </c>
      <c r="E33" s="199"/>
      <c r="F33" s="101"/>
      <c r="G33" s="50"/>
      <c r="H33" s="50"/>
      <c r="I33" s="74"/>
      <c r="J33" s="165">
        <f>SUM(J29:J32)</f>
        <v>12500.830000000002</v>
      </c>
      <c r="K33" s="116"/>
      <c r="L33" s="260">
        <v>6500</v>
      </c>
      <c r="M33" s="101"/>
      <c r="N33" s="50"/>
      <c r="O33" s="50"/>
      <c r="P33" s="50"/>
      <c r="Q33" s="50"/>
      <c r="R33" s="50"/>
      <c r="S33" s="50"/>
      <c r="T33" s="50"/>
      <c r="AB33"/>
      <c r="AC33"/>
    </row>
    <row r="34" spans="1:29" ht="15.75" thickBot="1" x14ac:dyDescent="0.3">
      <c r="A34" s="76"/>
      <c r="B34" s="87"/>
      <c r="C34" s="118" t="s">
        <v>168</v>
      </c>
      <c r="D34" s="118" t="s">
        <v>166</v>
      </c>
      <c r="E34" s="240"/>
      <c r="F34" s="101"/>
      <c r="G34" s="50"/>
      <c r="H34" s="131"/>
      <c r="I34" s="89"/>
      <c r="J34" s="253"/>
      <c r="K34" s="87"/>
      <c r="L34" s="100">
        <f>SUM(L29:L33)</f>
        <v>37500</v>
      </c>
      <c r="M34" s="101"/>
      <c r="N34" s="50"/>
      <c r="O34" s="50"/>
      <c r="P34" s="50"/>
      <c r="Q34" s="50"/>
      <c r="R34" s="50"/>
      <c r="S34" s="50"/>
      <c r="T34" s="50"/>
      <c r="AB34" s="101"/>
    </row>
    <row r="35" spans="1:29" x14ac:dyDescent="0.25">
      <c r="A35" s="125"/>
      <c r="B35" s="222"/>
      <c r="C35" s="118" t="s">
        <v>168</v>
      </c>
      <c r="D35" s="237">
        <v>6644.52</v>
      </c>
      <c r="E35" s="241"/>
      <c r="F35" s="101"/>
      <c r="G35" s="99"/>
      <c r="H35" s="50"/>
      <c r="I35" s="50"/>
      <c r="J35" s="50"/>
      <c r="K35" s="50"/>
      <c r="L35" s="153"/>
      <c r="M35" s="50"/>
      <c r="N35" s="50"/>
      <c r="O35" s="50"/>
      <c r="P35" s="50"/>
      <c r="Q35" s="50"/>
      <c r="R35" s="50"/>
      <c r="S35" s="50"/>
      <c r="T35" s="50"/>
      <c r="AB35" s="101"/>
    </row>
    <row r="36" spans="1:29" ht="15.75" thickBot="1" x14ac:dyDescent="0.3">
      <c r="A36" s="125"/>
      <c r="B36" s="222"/>
      <c r="C36" s="118" t="s">
        <v>168</v>
      </c>
      <c r="D36" s="244">
        <v>10760.39</v>
      </c>
      <c r="E36" s="99"/>
      <c r="F36" s="167"/>
      <c r="G36" s="57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AB36" s="101"/>
    </row>
    <row r="37" spans="1:29" ht="15.75" thickBot="1" x14ac:dyDescent="0.3">
      <c r="A37" s="126"/>
      <c r="B37" s="87"/>
      <c r="C37" s="242"/>
      <c r="D37" s="245">
        <f>SUM(D32:D36)</f>
        <v>34609.789999999994</v>
      </c>
      <c r="E37" s="243"/>
      <c r="F37" s="168"/>
      <c r="G37" s="89"/>
      <c r="H37" s="50"/>
      <c r="I37" s="132"/>
      <c r="J37" s="57"/>
      <c r="K37" s="50"/>
      <c r="L37" s="50"/>
      <c r="M37" s="50"/>
      <c r="N37" s="50"/>
      <c r="O37" s="50"/>
      <c r="P37" s="50"/>
      <c r="Q37" s="50"/>
      <c r="R37" s="50"/>
      <c r="S37" s="50"/>
      <c r="T37" s="50"/>
      <c r="AB37" s="101"/>
    </row>
    <row r="38" spans="1:29" ht="15.75" thickBot="1" x14ac:dyDescent="0.3">
      <c r="A38" s="125"/>
      <c r="B38" s="51"/>
      <c r="C38" s="118" t="s">
        <v>169</v>
      </c>
      <c r="D38" s="249">
        <v>50000</v>
      </c>
      <c r="E38" s="51"/>
      <c r="F38" s="169"/>
      <c r="G38" s="141"/>
      <c r="H38" s="51"/>
      <c r="I38" s="132"/>
      <c r="J38" s="57"/>
      <c r="K38" s="50"/>
      <c r="L38" s="50"/>
      <c r="M38" s="50"/>
      <c r="N38" s="50"/>
      <c r="O38" s="50"/>
      <c r="P38" s="50"/>
      <c r="Q38" s="50"/>
      <c r="R38" s="50"/>
      <c r="S38" s="50"/>
      <c r="T38" s="50"/>
      <c r="AB38" s="101"/>
    </row>
    <row r="39" spans="1:29" ht="15.75" thickBot="1" x14ac:dyDescent="0.3">
      <c r="A39" s="118"/>
      <c r="B39" s="223"/>
      <c r="C39" s="125" t="s">
        <v>71</v>
      </c>
      <c r="D39" s="251">
        <f>SUM(D37:D38)</f>
        <v>84609.79</v>
      </c>
      <c r="E39" s="248"/>
      <c r="F39" s="168"/>
      <c r="G39" s="89"/>
      <c r="H39" s="51"/>
      <c r="I39" s="132"/>
      <c r="J39" s="133"/>
      <c r="K39" s="50"/>
      <c r="L39" s="50"/>
      <c r="M39" s="50"/>
      <c r="N39" s="50"/>
      <c r="O39" s="50"/>
      <c r="P39" s="50"/>
      <c r="Q39" s="50"/>
      <c r="R39" s="50"/>
      <c r="S39" s="50"/>
      <c r="T39" s="50"/>
      <c r="AB39" s="101"/>
    </row>
    <row r="40" spans="1:29" x14ac:dyDescent="0.25">
      <c r="A40" s="125"/>
      <c r="B40" s="142"/>
      <c r="C40" s="162"/>
      <c r="D40" s="250"/>
      <c r="E40" s="51"/>
      <c r="F40" s="89"/>
      <c r="G40" s="89"/>
      <c r="H40" s="51"/>
      <c r="I40" s="132"/>
      <c r="J40" s="57"/>
      <c r="K40" s="50"/>
      <c r="L40" s="50"/>
      <c r="M40" s="50"/>
      <c r="N40" s="50"/>
      <c r="O40" s="50"/>
      <c r="P40" s="50"/>
      <c r="Q40" s="50"/>
      <c r="R40" s="50"/>
      <c r="S40" s="50"/>
      <c r="T40" s="50"/>
      <c r="AB40" s="101"/>
    </row>
    <row r="41" spans="1:29" x14ac:dyDescent="0.25">
      <c r="A41" s="118"/>
      <c r="B41" s="143"/>
      <c r="C41" s="162"/>
      <c r="D41" s="247"/>
      <c r="E41" s="141"/>
      <c r="F41" s="57"/>
      <c r="G41" s="57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AB41" s="101"/>
    </row>
    <row r="42" spans="1:29" x14ac:dyDescent="0.25">
      <c r="A42" s="125"/>
      <c r="B42" s="140"/>
      <c r="C42" s="162"/>
      <c r="D42" s="51"/>
      <c r="E42" s="89"/>
      <c r="F42" s="128"/>
      <c r="G42" s="89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V42" s="101"/>
    </row>
    <row r="43" spans="1:29" x14ac:dyDescent="0.25">
      <c r="A43" s="118"/>
      <c r="B43" s="89"/>
      <c r="C43" s="50"/>
      <c r="D43" s="51"/>
      <c r="E43" s="51"/>
      <c r="F43" s="89"/>
      <c r="G43" s="57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V43" s="101"/>
    </row>
    <row r="44" spans="1:29" x14ac:dyDescent="0.25">
      <c r="A44" s="89"/>
      <c r="B44" s="51"/>
      <c r="C44" s="50"/>
      <c r="D44" s="51"/>
      <c r="E44" s="50"/>
      <c r="F44" s="50"/>
      <c r="G44" s="57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V44" s="101"/>
    </row>
    <row r="45" spans="1:29" x14ac:dyDescent="0.25">
      <c r="A45" s="89"/>
      <c r="B45" s="51"/>
      <c r="C45" s="50"/>
      <c r="D45" s="51"/>
      <c r="E45" s="50"/>
      <c r="F45" s="50"/>
      <c r="G45" s="57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V45" s="101"/>
    </row>
    <row r="46" spans="1:29" x14ac:dyDescent="0.25">
      <c r="A46" s="57"/>
      <c r="B46" s="50"/>
      <c r="C46" s="50"/>
      <c r="D46" s="89"/>
      <c r="E46" s="50"/>
      <c r="F46" s="50"/>
      <c r="G46" s="89"/>
      <c r="H46" s="118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V46" s="101"/>
    </row>
    <row r="47" spans="1:29" x14ac:dyDescent="0.25">
      <c r="A47" s="57"/>
      <c r="B47" s="112"/>
      <c r="C47" s="133"/>
      <c r="D47" s="89"/>
      <c r="E47" s="133"/>
      <c r="F47" s="50"/>
      <c r="G47" s="50"/>
      <c r="H47" s="168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V47" s="101"/>
    </row>
    <row r="48" spans="1:29" x14ac:dyDescent="0.25">
      <c r="A48" s="50"/>
      <c r="B48" s="137"/>
      <c r="C48" s="50"/>
      <c r="D48" s="89"/>
      <c r="E48" s="133"/>
      <c r="F48" s="50"/>
      <c r="G48" s="50"/>
      <c r="H48" s="168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V48" s="101"/>
    </row>
    <row r="49" spans="1:22" x14ac:dyDescent="0.25">
      <c r="A49" s="50"/>
      <c r="B49" s="127"/>
      <c r="C49" s="50"/>
      <c r="D49" s="89"/>
      <c r="E49" s="193"/>
      <c r="F49" s="104"/>
      <c r="G49" s="50"/>
      <c r="H49" s="168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V49" s="101"/>
    </row>
    <row r="50" spans="1:22" x14ac:dyDescent="0.25">
      <c r="A50" s="50"/>
      <c r="B50" s="127"/>
      <c r="C50" s="51"/>
      <c r="D50" s="118"/>
      <c r="E50" s="193"/>
      <c r="F50" s="194"/>
      <c r="G50" s="50"/>
      <c r="H50" s="139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V50" s="101"/>
    </row>
    <row r="51" spans="1:22" x14ac:dyDescent="0.25">
      <c r="A51" s="50"/>
      <c r="B51" s="127"/>
      <c r="C51" s="51"/>
      <c r="D51" s="51"/>
      <c r="E51" s="193"/>
      <c r="F51" s="104"/>
      <c r="G51" s="50"/>
      <c r="H51" s="168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V51" s="101"/>
    </row>
    <row r="52" spans="1:22" x14ac:dyDescent="0.25">
      <c r="A52" s="50"/>
      <c r="B52" s="127"/>
      <c r="C52" s="87"/>
      <c r="D52" s="51"/>
      <c r="E52" s="117"/>
      <c r="F52" s="138"/>
      <c r="G52" s="51"/>
      <c r="H52" s="89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V52" s="101"/>
    </row>
    <row r="53" spans="1:22" x14ac:dyDescent="0.25">
      <c r="A53" s="50"/>
      <c r="B53" s="127"/>
      <c r="C53" s="119"/>
      <c r="D53" s="51"/>
      <c r="E53" s="117"/>
      <c r="F53" s="51"/>
      <c r="G53" s="51"/>
      <c r="H53" s="89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V53" s="101"/>
    </row>
    <row r="54" spans="1:22" x14ac:dyDescent="0.25">
      <c r="A54" s="50"/>
      <c r="B54" s="137"/>
      <c r="C54" s="116"/>
      <c r="D54" s="51"/>
      <c r="E54" s="117"/>
      <c r="F54" s="134"/>
      <c r="G54" s="51"/>
      <c r="H54" s="89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V54" s="101"/>
    </row>
    <row r="55" spans="1:22" x14ac:dyDescent="0.25">
      <c r="A55" s="50"/>
      <c r="B55" s="137"/>
      <c r="C55" s="116"/>
      <c r="D55" s="51"/>
      <c r="E55" s="117"/>
      <c r="F55" s="104"/>
      <c r="G55" s="51"/>
      <c r="H55" s="89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V55" s="101"/>
    </row>
    <row r="56" spans="1:22" x14ac:dyDescent="0.25">
      <c r="A56" s="50"/>
      <c r="B56" s="137"/>
      <c r="C56" s="116"/>
      <c r="D56" s="51"/>
      <c r="E56" s="51"/>
      <c r="F56" s="51"/>
      <c r="G56" s="51"/>
      <c r="H56" s="89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V56" s="101"/>
    </row>
    <row r="57" spans="1:22" x14ac:dyDescent="0.25">
      <c r="A57" s="50"/>
      <c r="B57" s="137"/>
      <c r="C57" s="116"/>
      <c r="D57" s="51"/>
      <c r="E57" s="50"/>
      <c r="F57" s="51"/>
      <c r="G57" s="51"/>
      <c r="H57" s="89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V57" s="101"/>
    </row>
    <row r="58" spans="1:22" x14ac:dyDescent="0.25">
      <c r="A58" s="50"/>
      <c r="B58" s="130"/>
      <c r="C58" s="116"/>
      <c r="D58" s="51"/>
      <c r="E58" s="50"/>
      <c r="F58" s="104"/>
      <c r="G58" s="51"/>
      <c r="H58" s="89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V58" s="101"/>
    </row>
    <row r="59" spans="1:22" x14ac:dyDescent="0.25">
      <c r="A59" s="89"/>
      <c r="B59" s="130"/>
      <c r="C59" s="116"/>
      <c r="D59" s="51"/>
      <c r="E59" s="50"/>
      <c r="F59" s="104"/>
      <c r="G59" s="51"/>
      <c r="H59" s="89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V59" s="101"/>
    </row>
    <row r="60" spans="1:22" x14ac:dyDescent="0.25">
      <c r="A60" s="50"/>
      <c r="B60" s="118"/>
      <c r="C60" s="116"/>
      <c r="D60" s="51"/>
      <c r="E60" s="50"/>
      <c r="F60" s="51"/>
      <c r="G60" s="51"/>
      <c r="H60" s="89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V60" s="101"/>
    </row>
    <row r="61" spans="1:22" x14ac:dyDescent="0.25">
      <c r="A61" s="50"/>
      <c r="B61" s="131"/>
      <c r="C61" s="116"/>
      <c r="D61" s="51"/>
      <c r="E61" s="50"/>
      <c r="F61" s="51"/>
      <c r="G61" s="51"/>
      <c r="H61" s="89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V61" s="101"/>
    </row>
    <row r="62" spans="1:22" x14ac:dyDescent="0.25">
      <c r="A62" s="50"/>
      <c r="B62" s="131"/>
      <c r="C62" s="116"/>
      <c r="D62" s="51"/>
      <c r="E62" s="50"/>
      <c r="F62" s="104"/>
      <c r="G62" s="51"/>
      <c r="H62" s="89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V62" s="101"/>
    </row>
    <row r="63" spans="1:22" x14ac:dyDescent="0.25">
      <c r="A63" s="50"/>
      <c r="B63" s="131"/>
      <c r="C63" s="116"/>
      <c r="D63" s="51"/>
      <c r="E63" s="50"/>
      <c r="F63" s="104"/>
      <c r="G63" s="51"/>
      <c r="H63" s="89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V63" s="101"/>
    </row>
    <row r="64" spans="1:22" x14ac:dyDescent="0.25">
      <c r="A64" s="50"/>
      <c r="B64" s="50"/>
      <c r="C64" s="116"/>
      <c r="D64" s="51"/>
      <c r="E64" s="50"/>
      <c r="F64" s="104"/>
      <c r="G64" s="51"/>
      <c r="H64" s="89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V64" s="101"/>
    </row>
    <row r="65" spans="1:23" x14ac:dyDescent="0.25">
      <c r="A65" s="50"/>
      <c r="B65" s="57"/>
      <c r="C65" s="116"/>
      <c r="D65" s="89"/>
      <c r="E65" s="50"/>
      <c r="F65" s="135"/>
      <c r="G65" s="51"/>
      <c r="H65" s="89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V65" s="101"/>
    </row>
    <row r="66" spans="1:23" x14ac:dyDescent="0.25">
      <c r="A66" s="50"/>
      <c r="B66" s="50"/>
      <c r="C66" s="101"/>
      <c r="D66" s="51"/>
      <c r="E66" s="50"/>
      <c r="F66" s="103"/>
      <c r="G66" s="50"/>
      <c r="H66" s="57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V66" s="101"/>
    </row>
    <row r="67" spans="1:23" x14ac:dyDescent="0.25">
      <c r="A67" s="50"/>
      <c r="B67" s="50"/>
      <c r="C67" s="101"/>
      <c r="D67" s="51"/>
      <c r="E67" s="50"/>
      <c r="F67" s="103"/>
      <c r="G67" s="50"/>
      <c r="H67" s="57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V67" s="101"/>
    </row>
    <row r="68" spans="1:23" x14ac:dyDescent="0.25">
      <c r="A68" s="50"/>
      <c r="B68" s="50"/>
      <c r="C68" s="101"/>
      <c r="D68" s="51"/>
      <c r="E68" s="50"/>
      <c r="F68" s="103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V68" s="101"/>
    </row>
    <row r="69" spans="1:23" x14ac:dyDescent="0.25">
      <c r="A69" s="50"/>
      <c r="B69" s="50"/>
      <c r="C69" s="101"/>
      <c r="D69" s="51"/>
      <c r="E69" s="50"/>
      <c r="F69" s="103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V69" s="101"/>
    </row>
    <row r="70" spans="1:23" x14ac:dyDescent="0.25">
      <c r="A70" s="50"/>
      <c r="B70" s="50"/>
      <c r="C70" s="101"/>
      <c r="D70" s="51"/>
      <c r="E70" s="50"/>
      <c r="F70" s="103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V70" s="101"/>
    </row>
    <row r="71" spans="1:23" x14ac:dyDescent="0.25">
      <c r="A71" s="50"/>
      <c r="B71" s="50"/>
      <c r="C71" s="101"/>
      <c r="D71" s="51"/>
      <c r="E71" s="50"/>
      <c r="F71" s="103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V71" s="101"/>
    </row>
    <row r="72" spans="1:23" x14ac:dyDescent="0.25">
      <c r="A72" s="50"/>
      <c r="B72" s="50"/>
      <c r="C72" s="101"/>
      <c r="D72" s="51"/>
      <c r="E72" s="50"/>
      <c r="F72" s="103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V72" s="101"/>
    </row>
    <row r="73" spans="1:23" x14ac:dyDescent="0.25">
      <c r="A73" s="50"/>
      <c r="B73" s="50"/>
      <c r="C73" s="101"/>
      <c r="D73" s="51"/>
      <c r="E73" s="50"/>
      <c r="F73" s="103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V73" s="101"/>
    </row>
    <row r="74" spans="1:23" x14ac:dyDescent="0.25">
      <c r="A74" s="50"/>
      <c r="B74" s="50"/>
      <c r="C74" s="101"/>
      <c r="D74" s="51"/>
      <c r="E74" s="50"/>
      <c r="F74" s="103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V74" s="101"/>
    </row>
    <row r="75" spans="1:23" x14ac:dyDescent="0.25">
      <c r="A75" s="50"/>
      <c r="B75" s="50"/>
      <c r="C75" s="101"/>
      <c r="D75" s="51"/>
      <c r="E75" s="50"/>
      <c r="F75" s="103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V75" s="101"/>
    </row>
    <row r="76" spans="1:23" x14ac:dyDescent="0.25">
      <c r="A76" s="50"/>
      <c r="B76" s="50"/>
      <c r="C76" s="101"/>
      <c r="D76" s="51"/>
      <c r="E76" s="50"/>
      <c r="F76" s="103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V76" s="101"/>
    </row>
    <row r="77" spans="1:23" x14ac:dyDescent="0.25">
      <c r="A77" s="50"/>
      <c r="B77" s="50"/>
      <c r="C77" s="101"/>
      <c r="D77" s="51"/>
      <c r="E77" s="50"/>
      <c r="F77" s="103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V77" s="101"/>
    </row>
    <row r="78" spans="1:23" x14ac:dyDescent="0.25">
      <c r="A78" s="102"/>
      <c r="B78" s="50"/>
      <c r="C78" s="101"/>
      <c r="D78" s="51"/>
      <c r="E78" s="50"/>
      <c r="F78" s="103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V78" s="101"/>
    </row>
    <row r="79" spans="1:23" x14ac:dyDescent="0.25">
      <c r="A79" s="50"/>
      <c r="B79" s="50"/>
      <c r="C79" s="101"/>
      <c r="D79" s="51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V79" s="101"/>
    </row>
    <row r="80" spans="1:23" x14ac:dyDescent="0.25">
      <c r="A80" s="50"/>
      <c r="B80" s="102"/>
      <c r="C80" s="102"/>
      <c r="D80" s="12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V80" s="129"/>
      <c r="W80" s="102"/>
    </row>
    <row r="81" spans="1:22" x14ac:dyDescent="0.25">
      <c r="A81" s="50"/>
      <c r="B81" s="50"/>
      <c r="C81" s="50"/>
      <c r="D81" s="51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V81" s="101"/>
    </row>
    <row r="82" spans="1:22" x14ac:dyDescent="0.25">
      <c r="A82" s="50"/>
      <c r="B82" s="50"/>
      <c r="C82" s="50"/>
      <c r="D82" s="51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V82" s="101"/>
    </row>
    <row r="83" spans="1:22" x14ac:dyDescent="0.25">
      <c r="A83" s="50"/>
      <c r="B83" s="50"/>
      <c r="C83" s="50"/>
      <c r="D83" s="51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V83" s="101"/>
    </row>
    <row r="84" spans="1:22" x14ac:dyDescent="0.25">
      <c r="A84" s="50"/>
      <c r="B84" s="50"/>
      <c r="C84" s="50"/>
      <c r="D84" s="51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V84" s="101"/>
    </row>
    <row r="85" spans="1:22" x14ac:dyDescent="0.25">
      <c r="A85" s="50"/>
      <c r="B85" s="50"/>
      <c r="C85" s="50"/>
      <c r="D85" s="51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V85" s="101"/>
    </row>
    <row r="86" spans="1:22" x14ac:dyDescent="0.25">
      <c r="A86" s="50"/>
      <c r="B86" s="50"/>
      <c r="C86" s="50"/>
      <c r="D86" s="51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V86" s="101"/>
    </row>
    <row r="87" spans="1:22" x14ac:dyDescent="0.25">
      <c r="A87" s="50"/>
      <c r="B87" s="50"/>
      <c r="C87" s="50"/>
      <c r="D87" s="51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V87" s="101"/>
    </row>
    <row r="88" spans="1:22" x14ac:dyDescent="0.25">
      <c r="A88" s="50"/>
      <c r="B88" s="50"/>
      <c r="C88" s="50"/>
      <c r="D88" s="51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V88" s="101"/>
    </row>
    <row r="89" spans="1:22" x14ac:dyDescent="0.25">
      <c r="A89" s="50"/>
      <c r="B89" s="50"/>
      <c r="C89" s="50"/>
      <c r="D89" s="51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V89" s="101"/>
    </row>
    <row r="90" spans="1:22" x14ac:dyDescent="0.25">
      <c r="A90" s="50"/>
      <c r="B90" s="50"/>
      <c r="C90" s="50"/>
      <c r="D90" s="51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V90" s="101"/>
    </row>
    <row r="91" spans="1:22" x14ac:dyDescent="0.25">
      <c r="A91" s="50"/>
      <c r="B91" s="50"/>
      <c r="C91" s="50"/>
      <c r="D91" s="51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V91" s="101"/>
    </row>
    <row r="92" spans="1:22" x14ac:dyDescent="0.25">
      <c r="B92" s="50"/>
      <c r="C92" s="50"/>
      <c r="D92" s="51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V92" s="101"/>
    </row>
    <row r="93" spans="1:22" x14ac:dyDescent="0.25">
      <c r="B93" s="50"/>
      <c r="C93" s="50"/>
      <c r="D93" s="51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Views>
    <sheetView topLeftCell="C4" workbookViewId="0">
      <selection activeCell="F35" sqref="F35"/>
    </sheetView>
  </sheetViews>
  <sheetFormatPr baseColWidth="10" defaultColWidth="9.140625" defaultRowHeight="15" x14ac:dyDescent="0.25"/>
  <cols>
    <col min="2" max="2" width="25" customWidth="1"/>
    <col min="3" max="3" width="16.42578125" customWidth="1"/>
    <col min="4" max="4" width="15.42578125" customWidth="1"/>
    <col min="5" max="5" width="15.85546875" customWidth="1"/>
    <col min="6" max="6" width="15.5703125" customWidth="1"/>
    <col min="7" max="7" width="16.28515625" customWidth="1"/>
    <col min="8" max="8" width="19.140625" customWidth="1"/>
    <col min="9" max="9" width="15.140625" customWidth="1"/>
    <col min="10" max="11" width="18.28515625" customWidth="1"/>
    <col min="12" max="12" width="12.5703125" customWidth="1"/>
    <col min="13" max="13" width="11.42578125" customWidth="1"/>
    <col min="14" max="14" width="11.85546875" customWidth="1"/>
  </cols>
  <sheetData>
    <row r="1" spans="1:15" ht="15.75" x14ac:dyDescent="0.25">
      <c r="A1" s="97"/>
      <c r="B1" s="225" t="s">
        <v>161</v>
      </c>
      <c r="C1" s="224"/>
      <c r="D1" s="89"/>
      <c r="E1" s="89"/>
      <c r="F1" s="99"/>
      <c r="G1" s="51"/>
      <c r="H1" s="89"/>
      <c r="I1" s="51"/>
      <c r="J1" s="99"/>
      <c r="K1" s="51"/>
      <c r="L1" s="99"/>
      <c r="M1" s="89"/>
      <c r="N1" s="99"/>
      <c r="O1" s="51"/>
    </row>
    <row r="2" spans="1:15" x14ac:dyDescent="0.25">
      <c r="B2" s="182" t="s">
        <v>81</v>
      </c>
      <c r="C2" s="99" t="s">
        <v>83</v>
      </c>
      <c r="D2" s="99" t="s">
        <v>84</v>
      </c>
      <c r="E2" s="99" t="s">
        <v>89</v>
      </c>
      <c r="F2" s="99" t="s">
        <v>151</v>
      </c>
      <c r="G2" s="99"/>
      <c r="H2" s="99"/>
      <c r="I2" s="99"/>
      <c r="J2" s="99"/>
      <c r="K2" s="99"/>
      <c r="L2" s="99"/>
      <c r="M2" s="99"/>
      <c r="N2" s="99"/>
      <c r="O2" s="99"/>
    </row>
    <row r="3" spans="1:15" x14ac:dyDescent="0.25">
      <c r="B3" s="182" t="s">
        <v>82</v>
      </c>
      <c r="C3" s="99" t="s">
        <v>85</v>
      </c>
      <c r="D3" s="51"/>
      <c r="E3" s="51"/>
      <c r="F3" s="51"/>
      <c r="G3" s="51"/>
      <c r="H3" s="117"/>
      <c r="I3" s="51"/>
      <c r="J3" s="51"/>
      <c r="K3" s="51"/>
      <c r="L3" s="51"/>
      <c r="M3" s="51"/>
      <c r="N3" s="51"/>
      <c r="O3" s="51"/>
    </row>
    <row r="4" spans="1:15" x14ac:dyDescent="0.25">
      <c r="B4" s="182" t="s">
        <v>86</v>
      </c>
      <c r="C4" s="89"/>
      <c r="D4" s="51"/>
      <c r="E4" s="51"/>
      <c r="F4" s="51"/>
      <c r="G4" s="51"/>
      <c r="H4" s="51"/>
      <c r="I4" s="98"/>
      <c r="J4" s="51"/>
      <c r="K4" s="51"/>
      <c r="L4" s="51"/>
      <c r="M4" s="51"/>
      <c r="N4" s="51"/>
      <c r="O4" s="51"/>
    </row>
    <row r="5" spans="1:15" x14ac:dyDescent="0.25">
      <c r="B5" s="182" t="s">
        <v>87</v>
      </c>
      <c r="C5" s="89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</row>
    <row r="6" spans="1:15" x14ac:dyDescent="0.25">
      <c r="B6" s="182" t="s">
        <v>155</v>
      </c>
      <c r="C6" s="179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</row>
    <row r="7" spans="1:15" x14ac:dyDescent="0.25">
      <c r="B7" s="182" t="s">
        <v>88</v>
      </c>
      <c r="C7" s="89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</row>
    <row r="8" spans="1:15" x14ac:dyDescent="0.25">
      <c r="B8" s="182" t="s">
        <v>90</v>
      </c>
      <c r="C8" s="89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</row>
    <row r="9" spans="1:15" x14ac:dyDescent="0.25">
      <c r="B9" s="182" t="s">
        <v>159</v>
      </c>
      <c r="C9" s="51"/>
      <c r="D9" s="51"/>
      <c r="E9" s="51"/>
      <c r="F9" s="51"/>
      <c r="G9" s="51"/>
      <c r="H9" s="51"/>
      <c r="I9" s="51"/>
      <c r="J9" s="98"/>
      <c r="K9" s="51"/>
      <c r="L9" s="98"/>
      <c r="M9" s="51"/>
      <c r="N9" s="98"/>
      <c r="O9" s="51"/>
    </row>
    <row r="10" spans="1:15" x14ac:dyDescent="0.25">
      <c r="B10" s="182" t="s">
        <v>158</v>
      </c>
      <c r="C10" s="50"/>
      <c r="D10" s="50"/>
      <c r="E10" s="50"/>
      <c r="F10" s="50"/>
      <c r="G10" s="50"/>
      <c r="H10" s="50"/>
      <c r="I10" s="50"/>
      <c r="J10" s="50"/>
      <c r="K10" s="51"/>
      <c r="L10" s="51"/>
      <c r="M10" s="51"/>
      <c r="N10" s="51"/>
      <c r="O10" s="51"/>
    </row>
    <row r="11" spans="1:15" x14ac:dyDescent="0.25">
      <c r="B11" s="182" t="s">
        <v>156</v>
      </c>
      <c r="C11" s="50" t="s">
        <v>160</v>
      </c>
      <c r="D11" s="50"/>
      <c r="E11" s="50"/>
      <c r="F11" s="50"/>
      <c r="G11" s="50"/>
      <c r="H11" s="50"/>
      <c r="I11" s="50"/>
      <c r="J11" s="50"/>
      <c r="K11" s="51"/>
      <c r="L11" s="51"/>
      <c r="M11" s="51"/>
      <c r="N11" s="51"/>
      <c r="O11" s="51"/>
    </row>
    <row r="12" spans="1:15" x14ac:dyDescent="0.25">
      <c r="B12" s="50"/>
      <c r="C12" s="50"/>
      <c r="D12" s="50"/>
      <c r="E12" s="50"/>
      <c r="F12" s="50"/>
      <c r="G12" s="50"/>
      <c r="H12" s="50"/>
      <c r="I12" s="50"/>
      <c r="J12" s="50"/>
      <c r="K12" s="51"/>
      <c r="L12" s="51"/>
      <c r="M12" s="51"/>
      <c r="N12" s="51"/>
      <c r="O12" s="51"/>
    </row>
    <row r="13" spans="1:15" x14ac:dyDescent="0.25">
      <c r="B13" s="185" t="s">
        <v>91</v>
      </c>
      <c r="C13" s="185" t="s">
        <v>92</v>
      </c>
      <c r="D13" s="196" t="s">
        <v>93</v>
      </c>
      <c r="E13" s="196" t="s">
        <v>94</v>
      </c>
      <c r="F13" s="196" t="s">
        <v>95</v>
      </c>
      <c r="G13" s="196" t="s">
        <v>96</v>
      </c>
      <c r="H13" s="196" t="s">
        <v>97</v>
      </c>
      <c r="I13" s="196" t="s">
        <v>118</v>
      </c>
      <c r="J13" s="277" t="s">
        <v>152</v>
      </c>
      <c r="K13" s="51"/>
      <c r="L13" s="180"/>
      <c r="M13" s="51"/>
      <c r="N13" s="51"/>
      <c r="O13" s="51"/>
    </row>
    <row r="14" spans="1:15" x14ac:dyDescent="0.25">
      <c r="B14" s="196" t="s">
        <v>98</v>
      </c>
      <c r="C14" s="185" t="s">
        <v>99</v>
      </c>
      <c r="D14" s="185" t="s">
        <v>100</v>
      </c>
      <c r="E14" s="196" t="s">
        <v>133</v>
      </c>
      <c r="F14" s="185" t="s">
        <v>101</v>
      </c>
      <c r="G14" s="185" t="s">
        <v>182</v>
      </c>
      <c r="H14" s="185" t="s">
        <v>105</v>
      </c>
      <c r="I14" s="185" t="s">
        <v>132</v>
      </c>
      <c r="J14" s="278" t="s">
        <v>162</v>
      </c>
      <c r="K14" s="51"/>
      <c r="L14" s="51"/>
      <c r="M14" s="51"/>
      <c r="N14" s="51"/>
      <c r="O14" s="51"/>
    </row>
    <row r="15" spans="1:15" x14ac:dyDescent="0.25">
      <c r="B15" s="186" t="s">
        <v>102</v>
      </c>
      <c r="C15" s="185" t="s">
        <v>103</v>
      </c>
      <c r="D15" s="185" t="s">
        <v>104</v>
      </c>
      <c r="E15" s="185" t="s">
        <v>106</v>
      </c>
      <c r="F15" s="185" t="s">
        <v>107</v>
      </c>
      <c r="G15" s="185" t="s">
        <v>116</v>
      </c>
      <c r="H15" s="185" t="s">
        <v>140</v>
      </c>
      <c r="I15" s="185" t="s">
        <v>141</v>
      </c>
      <c r="J15" s="51"/>
      <c r="K15" s="51"/>
      <c r="L15" s="51"/>
      <c r="M15" s="51"/>
      <c r="N15" s="51"/>
      <c r="O15" s="51"/>
    </row>
    <row r="16" spans="1:15" x14ac:dyDescent="0.25">
      <c r="B16" s="187" t="s">
        <v>108</v>
      </c>
      <c r="C16" s="186" t="s">
        <v>142</v>
      </c>
      <c r="D16" s="185" t="s">
        <v>118</v>
      </c>
      <c r="E16" s="185" t="s">
        <v>122</v>
      </c>
      <c r="F16" s="185" t="s">
        <v>153</v>
      </c>
      <c r="G16" s="186"/>
      <c r="H16" s="186"/>
      <c r="I16" s="186"/>
      <c r="J16" s="51"/>
      <c r="K16" s="51"/>
      <c r="L16" s="51"/>
      <c r="M16" s="51"/>
      <c r="N16" s="51"/>
      <c r="O16" s="51"/>
    </row>
    <row r="17" spans="2:19" x14ac:dyDescent="0.25">
      <c r="B17" s="183" t="s">
        <v>109</v>
      </c>
      <c r="C17" s="188" t="s">
        <v>110</v>
      </c>
      <c r="D17" s="188" t="s">
        <v>111</v>
      </c>
      <c r="E17" s="197" t="s">
        <v>112</v>
      </c>
      <c r="F17" s="197" t="s">
        <v>113</v>
      </c>
      <c r="G17" s="188" t="s">
        <v>114</v>
      </c>
      <c r="H17" s="188" t="s">
        <v>115</v>
      </c>
      <c r="I17" s="188" t="s">
        <v>117</v>
      </c>
      <c r="J17" s="51"/>
      <c r="K17" s="51"/>
      <c r="L17" s="51"/>
      <c r="M17" s="51"/>
      <c r="N17" s="51"/>
      <c r="O17" s="51"/>
    </row>
    <row r="18" spans="2:19" x14ac:dyDescent="0.25">
      <c r="B18" s="183" t="s">
        <v>109</v>
      </c>
      <c r="C18" s="188" t="s">
        <v>119</v>
      </c>
      <c r="D18" s="188" t="s">
        <v>120</v>
      </c>
      <c r="E18" s="197" t="s">
        <v>86</v>
      </c>
      <c r="F18" s="188"/>
      <c r="G18" s="188"/>
      <c r="H18" s="188"/>
      <c r="I18" s="188"/>
      <c r="J18" s="51"/>
      <c r="K18" s="51"/>
      <c r="L18" s="51"/>
      <c r="M18" s="51"/>
      <c r="N18" s="51"/>
      <c r="O18" s="51"/>
    </row>
    <row r="19" spans="2:19" x14ac:dyDescent="0.25">
      <c r="B19" s="189" t="s">
        <v>121</v>
      </c>
      <c r="C19" s="189" t="s">
        <v>122</v>
      </c>
      <c r="D19" s="189" t="s">
        <v>116</v>
      </c>
      <c r="E19" s="189" t="s">
        <v>123</v>
      </c>
      <c r="F19" s="189" t="s">
        <v>124</v>
      </c>
      <c r="G19" s="189" t="s">
        <v>125</v>
      </c>
      <c r="H19" s="189" t="s">
        <v>126</v>
      </c>
      <c r="I19" s="98" t="s">
        <v>154</v>
      </c>
      <c r="J19" s="51"/>
      <c r="K19" s="51"/>
      <c r="L19" s="51"/>
      <c r="M19" s="51"/>
      <c r="N19" s="51"/>
      <c r="O19" s="51"/>
    </row>
    <row r="20" spans="2:19" x14ac:dyDescent="0.25">
      <c r="B20" s="190"/>
      <c r="C20" s="189" t="s">
        <v>127</v>
      </c>
      <c r="D20" s="189" t="s">
        <v>128</v>
      </c>
      <c r="E20" s="189" t="s">
        <v>129</v>
      </c>
      <c r="F20" s="189"/>
      <c r="G20" s="189"/>
      <c r="H20" s="189"/>
      <c r="I20" s="51"/>
      <c r="J20" s="51"/>
      <c r="K20" s="51"/>
      <c r="L20" s="51"/>
      <c r="M20" s="51"/>
      <c r="N20" s="51"/>
      <c r="O20" s="181"/>
      <c r="S20" s="18"/>
    </row>
    <row r="21" spans="2:19" x14ac:dyDescent="0.25">
      <c r="B21" s="190"/>
      <c r="C21" s="189" t="s">
        <v>130</v>
      </c>
      <c r="D21" s="189" t="s">
        <v>131</v>
      </c>
      <c r="E21" s="189" t="s">
        <v>132</v>
      </c>
      <c r="F21" s="189" t="s">
        <v>116</v>
      </c>
      <c r="G21" s="189" t="s">
        <v>123</v>
      </c>
      <c r="H21" s="190" t="s">
        <v>137</v>
      </c>
      <c r="I21" s="51"/>
      <c r="J21" s="51"/>
      <c r="K21" s="51"/>
      <c r="L21" s="51"/>
      <c r="M21" s="51"/>
      <c r="N21" s="51"/>
      <c r="O21" s="51"/>
    </row>
    <row r="22" spans="2:19" x14ac:dyDescent="0.25">
      <c r="B22" s="191"/>
      <c r="C22" s="192" t="s">
        <v>138</v>
      </c>
      <c r="D22" s="192" t="s">
        <v>139</v>
      </c>
      <c r="E22" s="189" t="s">
        <v>132</v>
      </c>
      <c r="F22" s="189" t="s">
        <v>124</v>
      </c>
      <c r="G22" s="189"/>
      <c r="H22" s="190"/>
      <c r="I22" s="51"/>
      <c r="J22" s="51"/>
      <c r="K22" s="51"/>
      <c r="L22" s="51"/>
      <c r="M22" s="51"/>
      <c r="N22" s="51"/>
      <c r="O22" s="51"/>
    </row>
    <row r="23" spans="2:19" x14ac:dyDescent="0.25">
      <c r="B23" s="50"/>
      <c r="C23" s="192" t="s">
        <v>143</v>
      </c>
      <c r="D23" s="192" t="s">
        <v>131</v>
      </c>
      <c r="E23" s="189" t="s">
        <v>144</v>
      </c>
      <c r="F23" s="189" t="s">
        <v>145</v>
      </c>
      <c r="G23" s="189" t="s">
        <v>132</v>
      </c>
      <c r="H23" s="189" t="s">
        <v>96</v>
      </c>
      <c r="I23" s="189" t="s">
        <v>146</v>
      </c>
      <c r="J23" s="51"/>
      <c r="K23" s="51"/>
      <c r="L23" s="51"/>
      <c r="M23" s="51"/>
      <c r="N23" s="51"/>
      <c r="O23" s="51"/>
    </row>
    <row r="24" spans="2:19" x14ac:dyDescent="0.25">
      <c r="B24" s="184" t="s">
        <v>134</v>
      </c>
      <c r="C24" s="99" t="s">
        <v>135</v>
      </c>
      <c r="D24" s="99" t="s">
        <v>136</v>
      </c>
      <c r="E24" s="99" t="s">
        <v>147</v>
      </c>
      <c r="F24" s="51"/>
      <c r="G24" s="51"/>
      <c r="H24" s="51"/>
      <c r="I24" s="51"/>
      <c r="J24" s="51"/>
      <c r="K24" s="51"/>
      <c r="L24" s="51"/>
      <c r="M24" s="51"/>
      <c r="N24" s="51"/>
      <c r="O24" s="51"/>
    </row>
    <row r="25" spans="2:19" x14ac:dyDescent="0.25">
      <c r="B25" s="198"/>
      <c r="C25" s="99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</row>
    <row r="26" spans="2:19" x14ac:dyDescent="0.25">
      <c r="B26" s="198"/>
      <c r="C26" s="89"/>
      <c r="D26" s="199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</row>
    <row r="27" spans="2:19" x14ac:dyDescent="0.25">
      <c r="B27" s="200"/>
      <c r="C27" s="89"/>
      <c r="D27" s="199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</row>
    <row r="28" spans="2:19" x14ac:dyDescent="0.25">
      <c r="B28" s="128"/>
      <c r="C28" s="89"/>
      <c r="D28" s="199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</row>
    <row r="29" spans="2:19" x14ac:dyDescent="0.25">
      <c r="B29" s="51"/>
      <c r="C29" s="89"/>
      <c r="D29" s="199"/>
      <c r="E29" s="51"/>
      <c r="F29" s="51"/>
      <c r="G29" s="51"/>
      <c r="H29" s="51" t="s">
        <v>163</v>
      </c>
      <c r="I29" s="51">
        <v>211</v>
      </c>
      <c r="J29" s="51" t="s">
        <v>164</v>
      </c>
      <c r="K29" s="51" t="s">
        <v>165</v>
      </c>
      <c r="L29" s="51"/>
      <c r="M29" s="51"/>
      <c r="N29" s="51"/>
      <c r="O29" s="51"/>
    </row>
    <row r="33" spans="5:12" x14ac:dyDescent="0.25">
      <c r="E33" s="2"/>
      <c r="F33" s="2"/>
    </row>
    <row r="34" spans="5:12" x14ac:dyDescent="0.25">
      <c r="E34" s="40"/>
      <c r="F34" s="2"/>
      <c r="K34" s="11"/>
    </row>
    <row r="35" spans="5:12" x14ac:dyDescent="0.25">
      <c r="E35" s="2"/>
      <c r="F35" s="8"/>
      <c r="L35" s="7"/>
    </row>
    <row r="36" spans="5:12" x14ac:dyDescent="0.25">
      <c r="E36" s="2"/>
      <c r="F36" s="8"/>
    </row>
    <row r="37" spans="5:12" x14ac:dyDescent="0.25">
      <c r="E37" s="2"/>
      <c r="F37" s="8"/>
    </row>
    <row r="38" spans="5:12" x14ac:dyDescent="0.25">
      <c r="E38" s="2"/>
      <c r="F38" s="8"/>
    </row>
    <row r="39" spans="5:12" x14ac:dyDescent="0.25">
      <c r="E39" s="2"/>
      <c r="F39" s="8"/>
    </row>
    <row r="40" spans="5:12" x14ac:dyDescent="0.25">
      <c r="E40" s="2"/>
      <c r="F40" s="8"/>
    </row>
    <row r="41" spans="5:12" x14ac:dyDescent="0.25">
      <c r="E41" s="2"/>
      <c r="F41" s="8"/>
    </row>
    <row r="42" spans="5:12" x14ac:dyDescent="0.25">
      <c r="E42" s="2"/>
      <c r="F42" s="8"/>
    </row>
    <row r="43" spans="5:12" x14ac:dyDescent="0.25">
      <c r="E43" s="2"/>
      <c r="F43" s="8"/>
    </row>
    <row r="44" spans="5:12" ht="12.75" customHeight="1" x14ac:dyDescent="0.25">
      <c r="E44" s="2"/>
      <c r="F44" s="2"/>
    </row>
    <row r="45" spans="5:12" x14ac:dyDescent="0.25">
      <c r="E45" s="2"/>
      <c r="F45" s="2"/>
    </row>
    <row r="46" spans="5:12" x14ac:dyDescent="0.25">
      <c r="E46" s="2"/>
      <c r="F46" s="2"/>
    </row>
    <row r="47" spans="5:12" x14ac:dyDescent="0.25">
      <c r="E47" s="2"/>
      <c r="F47" s="2"/>
    </row>
  </sheetData>
  <pageMargins left="0.7" right="0.7" top="0.75" bottom="0.75" header="0.3" footer="0.3"/>
  <pageSetup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4"/>
  <sheetViews>
    <sheetView workbookViewId="0">
      <selection activeCell="K23" sqref="K22:K23"/>
    </sheetView>
  </sheetViews>
  <sheetFormatPr baseColWidth="10" defaultColWidth="9.140625" defaultRowHeight="15" x14ac:dyDescent="0.25"/>
  <cols>
    <col min="5" max="5" width="14.28515625" customWidth="1"/>
    <col min="6" max="7" width="11.140625" customWidth="1"/>
  </cols>
  <sheetData>
    <row r="1" spans="1:20" x14ac:dyDescent="0.2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</row>
    <row r="2" spans="1:20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</row>
    <row r="3" spans="1:20" x14ac:dyDescent="0.25">
      <c r="A3" s="50"/>
      <c r="B3" s="50"/>
      <c r="C3" s="50"/>
      <c r="D3" s="50"/>
      <c r="E3" s="50"/>
      <c r="F3" s="50"/>
      <c r="G3" s="50"/>
      <c r="H3" s="102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</row>
    <row r="4" spans="1:20" ht="15.75" thickBot="1" x14ac:dyDescent="0.3">
      <c r="A4" s="50"/>
      <c r="B4" s="50"/>
      <c r="C4" s="50"/>
      <c r="D4" s="50"/>
      <c r="E4" s="50"/>
      <c r="F4" s="102"/>
      <c r="G4" s="154"/>
      <c r="H4" s="102"/>
      <c r="I4" s="129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</row>
    <row r="5" spans="1:20" ht="15.75" thickBot="1" x14ac:dyDescent="0.3">
      <c r="A5" s="50"/>
      <c r="B5" s="51"/>
      <c r="C5" s="50"/>
      <c r="D5" s="50"/>
      <c r="E5" s="74"/>
      <c r="F5" s="160">
        <v>45961</v>
      </c>
      <c r="G5" s="161">
        <v>45693</v>
      </c>
      <c r="H5" s="160">
        <v>45849</v>
      </c>
      <c r="I5" s="160">
        <v>45992</v>
      </c>
      <c r="J5" s="106" t="s">
        <v>73</v>
      </c>
      <c r="K5" s="145" t="s">
        <v>73</v>
      </c>
      <c r="L5" s="145" t="s">
        <v>73</v>
      </c>
      <c r="M5" s="50"/>
      <c r="N5" s="50"/>
      <c r="O5" s="50"/>
      <c r="P5" s="50"/>
      <c r="Q5" s="50"/>
      <c r="R5" s="50"/>
      <c r="S5" s="50"/>
      <c r="T5" s="50"/>
    </row>
    <row r="6" spans="1:20" x14ac:dyDescent="0.25">
      <c r="A6" s="50"/>
      <c r="B6" s="51"/>
      <c r="C6" s="50"/>
      <c r="D6" s="50"/>
      <c r="E6" s="50" t="s">
        <v>69</v>
      </c>
      <c r="F6" s="153">
        <v>42</v>
      </c>
      <c r="G6" s="153">
        <v>49</v>
      </c>
      <c r="H6" s="157">
        <v>53</v>
      </c>
      <c r="I6" s="153">
        <v>59</v>
      </c>
      <c r="J6" s="50">
        <v>60</v>
      </c>
      <c r="K6" s="50">
        <v>60</v>
      </c>
      <c r="L6" s="50">
        <v>60</v>
      </c>
      <c r="M6" s="50"/>
      <c r="N6" s="50"/>
      <c r="O6" s="50"/>
      <c r="P6" s="50"/>
      <c r="Q6" s="50"/>
      <c r="R6" s="50"/>
      <c r="S6" s="50"/>
      <c r="T6" s="50"/>
    </row>
    <row r="7" spans="1:20" x14ac:dyDescent="0.25">
      <c r="A7" s="50"/>
      <c r="B7" s="51"/>
      <c r="C7" s="50"/>
      <c r="D7" s="50"/>
      <c r="E7" s="50" t="s">
        <v>70</v>
      </c>
      <c r="F7" s="50">
        <v>177</v>
      </c>
      <c r="G7" s="50">
        <v>134</v>
      </c>
      <c r="H7" s="158">
        <v>144</v>
      </c>
      <c r="I7" s="50">
        <v>140</v>
      </c>
      <c r="J7" s="50">
        <v>100</v>
      </c>
      <c r="K7" s="50">
        <v>130</v>
      </c>
      <c r="L7" s="50">
        <v>130</v>
      </c>
      <c r="M7" s="50"/>
      <c r="N7" s="50"/>
      <c r="O7" s="50"/>
      <c r="P7" s="50"/>
      <c r="Q7" s="50"/>
      <c r="R7" s="50"/>
      <c r="S7" s="50"/>
      <c r="T7" s="50"/>
    </row>
    <row r="8" spans="1:20" x14ac:dyDescent="0.25">
      <c r="A8" s="50"/>
      <c r="B8" s="51"/>
      <c r="C8" s="50"/>
      <c r="D8" s="50"/>
      <c r="E8" s="50" t="s">
        <v>71</v>
      </c>
      <c r="F8" s="50">
        <v>263</v>
      </c>
      <c r="G8" s="50">
        <v>209</v>
      </c>
      <c r="H8" s="158">
        <v>219</v>
      </c>
      <c r="I8" s="50">
        <v>216</v>
      </c>
      <c r="J8" s="50">
        <v>200</v>
      </c>
      <c r="K8" s="50">
        <v>200</v>
      </c>
      <c r="L8" s="50">
        <v>200</v>
      </c>
      <c r="M8" s="50"/>
      <c r="N8" s="50"/>
      <c r="O8" s="50"/>
      <c r="P8" s="50"/>
      <c r="Q8" s="50"/>
      <c r="R8" s="50"/>
      <c r="S8" s="50"/>
      <c r="T8" s="50"/>
    </row>
    <row r="9" spans="1:20" x14ac:dyDescent="0.25">
      <c r="A9" s="50"/>
      <c r="B9" s="51"/>
      <c r="C9" s="50"/>
      <c r="D9" s="50"/>
      <c r="E9" s="50" t="s">
        <v>72</v>
      </c>
      <c r="F9" s="50">
        <v>219</v>
      </c>
      <c r="G9" s="50">
        <v>127</v>
      </c>
      <c r="H9" s="159">
        <v>112</v>
      </c>
      <c r="I9" s="50">
        <v>88</v>
      </c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</row>
    <row r="10" spans="1:20" x14ac:dyDescent="0.25">
      <c r="A10" s="50"/>
      <c r="B10" s="51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</row>
    <row r="11" spans="1:20" x14ac:dyDescent="0.25">
      <c r="A11" s="50"/>
      <c r="B11" s="51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</row>
    <row r="12" spans="1:20" x14ac:dyDescent="0.25">
      <c r="A12" s="50"/>
      <c r="B12" s="51"/>
      <c r="C12" s="50"/>
      <c r="D12" s="50"/>
      <c r="E12" s="50" t="s">
        <v>74</v>
      </c>
      <c r="F12" s="5">
        <v>5</v>
      </c>
      <c r="G12" s="131">
        <v>4.13</v>
      </c>
      <c r="H12" s="50"/>
      <c r="I12" s="50">
        <v>3.66</v>
      </c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</row>
    <row r="13" spans="1:20" x14ac:dyDescent="0.25">
      <c r="A13" s="50"/>
      <c r="B13" s="51"/>
      <c r="C13" s="50"/>
      <c r="D13" s="50"/>
      <c r="E13" s="50" t="s">
        <v>75</v>
      </c>
      <c r="F13" s="5">
        <v>3.5</v>
      </c>
      <c r="G13" s="131">
        <v>2.71</v>
      </c>
      <c r="H13" s="50"/>
      <c r="I13" s="50">
        <v>2.37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</row>
    <row r="14" spans="1:20" x14ac:dyDescent="0.25">
      <c r="A14" s="50"/>
      <c r="B14" s="51"/>
      <c r="C14" s="50"/>
      <c r="D14" s="50"/>
      <c r="E14" s="50" t="s">
        <v>76</v>
      </c>
      <c r="F14" s="5">
        <v>2</v>
      </c>
      <c r="G14" s="131">
        <v>2.11</v>
      </c>
      <c r="H14" s="50"/>
      <c r="I14" s="50">
        <v>1.49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</row>
    <row r="15" spans="1:20" x14ac:dyDescent="0.25">
      <c r="A15" s="50"/>
      <c r="B15" s="51"/>
      <c r="C15" s="50"/>
      <c r="D15" s="50"/>
      <c r="E15" s="50" t="s">
        <v>77</v>
      </c>
      <c r="F15" s="5">
        <v>100</v>
      </c>
      <c r="G15" s="131">
        <v>155.4</v>
      </c>
      <c r="H15" s="50"/>
      <c r="I15" s="50">
        <v>145.19999999999999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</row>
    <row r="16" spans="1:20" x14ac:dyDescent="0.25">
      <c r="A16" s="50"/>
      <c r="B16" s="51"/>
      <c r="C16" s="50"/>
      <c r="D16" s="50"/>
      <c r="E16" s="163" t="s">
        <v>78</v>
      </c>
      <c r="F16" s="5">
        <v>130</v>
      </c>
      <c r="G16" s="131">
        <v>166</v>
      </c>
      <c r="H16" s="50"/>
      <c r="I16" s="50">
        <v>157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</row>
    <row r="17" spans="1:20" x14ac:dyDescent="0.25">
      <c r="A17" s="50"/>
      <c r="B17" s="51"/>
      <c r="C17" s="50"/>
      <c r="D17" s="50"/>
      <c r="E17" s="50"/>
      <c r="F17" s="50"/>
      <c r="G17" s="50"/>
      <c r="H17" s="50"/>
      <c r="I17" s="5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</row>
    <row r="18" spans="1:20" x14ac:dyDescent="0.25">
      <c r="A18" s="50"/>
      <c r="B18" s="51"/>
      <c r="C18" s="50"/>
      <c r="D18" s="50"/>
      <c r="E18" s="50"/>
      <c r="F18" s="5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</row>
    <row r="19" spans="1:20" x14ac:dyDescent="0.25">
      <c r="A19" s="50"/>
      <c r="B19" s="51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</row>
    <row r="20" spans="1:20" x14ac:dyDescent="0.25">
      <c r="A20" s="50"/>
      <c r="B20" s="51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</row>
    <row r="21" spans="1:20" x14ac:dyDescent="0.25">
      <c r="A21" s="50"/>
      <c r="B21" s="51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</row>
    <row r="22" spans="1:20" x14ac:dyDescent="0.25">
      <c r="A22" s="50"/>
      <c r="B22" s="51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</row>
    <row r="23" spans="1:20" x14ac:dyDescent="0.25">
      <c r="A23" s="50"/>
      <c r="B23" s="51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</row>
    <row r="24" spans="1:20" x14ac:dyDescent="0.25">
      <c r="A24" s="50"/>
      <c r="B24" s="51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</row>
    <row r="25" spans="1:20" x14ac:dyDescent="0.25">
      <c r="A25" s="50"/>
      <c r="B25" s="51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</row>
    <row r="26" spans="1:20" x14ac:dyDescent="0.25">
      <c r="A26" s="50"/>
      <c r="B26" s="51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</row>
    <row r="27" spans="1:20" x14ac:dyDescent="0.25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</row>
    <row r="28" spans="1:20" x14ac:dyDescent="0.25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</row>
    <row r="29" spans="1:20" x14ac:dyDescent="0.25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</row>
    <row r="30" spans="1:20" x14ac:dyDescent="0.25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</row>
    <row r="31" spans="1:20" x14ac:dyDescent="0.25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</row>
    <row r="32" spans="1:20" x14ac:dyDescent="0.2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</row>
    <row r="33" spans="1:20" x14ac:dyDescent="0.2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</row>
    <row r="34" spans="1:20" x14ac:dyDescent="0.25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</row>
    <row r="35" spans="1:20" x14ac:dyDescent="0.2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</row>
    <row r="36" spans="1:20" x14ac:dyDescent="0.25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</row>
    <row r="37" spans="1:20" x14ac:dyDescent="0.25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</row>
    <row r="38" spans="1:20" x14ac:dyDescent="0.25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</row>
    <row r="39" spans="1:20" x14ac:dyDescent="0.25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</row>
    <row r="40" spans="1:20" x14ac:dyDescent="0.25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</row>
    <row r="41" spans="1:20" x14ac:dyDescent="0.25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</row>
    <row r="42" spans="1:20" x14ac:dyDescent="0.25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</row>
    <row r="43" spans="1:20" x14ac:dyDescent="0.25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</row>
    <row r="44" spans="1:20" x14ac:dyDescent="0.25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</row>
    <row r="45" spans="1:20" x14ac:dyDescent="0.2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</row>
    <row r="46" spans="1:20" x14ac:dyDescent="0.25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</row>
    <row r="47" spans="1:20" x14ac:dyDescent="0.25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</row>
    <row r="48" spans="1:20" x14ac:dyDescent="0.25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</row>
    <row r="49" spans="1:20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</row>
    <row r="50" spans="1:20" x14ac:dyDescent="0.25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</row>
    <row r="51" spans="1:20" x14ac:dyDescent="0.25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</row>
    <row r="52" spans="1:20" x14ac:dyDescent="0.25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</row>
    <row r="53" spans="1:20" x14ac:dyDescent="0.2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</row>
    <row r="54" spans="1:20" x14ac:dyDescent="0.2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</row>
    <row r="55" spans="1:20" x14ac:dyDescent="0.2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</row>
    <row r="56" spans="1:20" x14ac:dyDescent="0.25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</row>
    <row r="57" spans="1:20" x14ac:dyDescent="0.25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</row>
    <row r="58" spans="1:20" x14ac:dyDescent="0.25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</row>
    <row r="59" spans="1:20" x14ac:dyDescent="0.25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</row>
    <row r="60" spans="1:20" x14ac:dyDescent="0.25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</row>
    <row r="61" spans="1:20" x14ac:dyDescent="0.25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</row>
    <row r="62" spans="1:20" x14ac:dyDescent="0.25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</row>
    <row r="63" spans="1:20" x14ac:dyDescent="0.25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</row>
    <row r="64" spans="1:20" x14ac:dyDescent="0.25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</row>
    <row r="65" spans="1:20" x14ac:dyDescent="0.2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</row>
    <row r="66" spans="1:20" x14ac:dyDescent="0.25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</row>
    <row r="67" spans="1:20" x14ac:dyDescent="0.25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</row>
    <row r="68" spans="1:20" x14ac:dyDescent="0.25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</row>
    <row r="69" spans="1:20" x14ac:dyDescent="0.25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</row>
    <row r="70" spans="1:20" x14ac:dyDescent="0.25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</row>
    <row r="71" spans="1:20" x14ac:dyDescent="0.25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</row>
    <row r="72" spans="1:20" x14ac:dyDescent="0.25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</row>
    <row r="73" spans="1:20" x14ac:dyDescent="0.25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</row>
    <row r="74" spans="1:20" x14ac:dyDescent="0.25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</row>
    <row r="75" spans="1:20" x14ac:dyDescent="0.2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</row>
    <row r="76" spans="1:20" x14ac:dyDescent="0.25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</row>
    <row r="77" spans="1:20" x14ac:dyDescent="0.25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</row>
    <row r="78" spans="1:20" x14ac:dyDescent="0.25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</row>
    <row r="79" spans="1:20" x14ac:dyDescent="0.25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</row>
    <row r="80" spans="1:20" x14ac:dyDescent="0.25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</row>
    <row r="81" spans="1:20" x14ac:dyDescent="0.25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</row>
    <row r="82" spans="1:20" x14ac:dyDescent="0.25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</row>
    <row r="83" spans="1:20" x14ac:dyDescent="0.25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</row>
    <row r="84" spans="1:20" x14ac:dyDescent="0.25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Sheet5</vt:lpstr>
      <vt:lpstr>Sheet1</vt:lpstr>
      <vt:lpstr>Sheet2</vt:lpstr>
      <vt:lpstr>Sheet3</vt:lpstr>
      <vt:lpstr>Sheet4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Edgardo Omar</dc:creator>
  <cp:lastModifiedBy>Edgardo Omar</cp:lastModifiedBy>
  <dcterms:created xsi:type="dcterms:W3CDTF">2017-12-10T18:37:22Z</dcterms:created>
  <dcterms:modified xsi:type="dcterms:W3CDTF">2026-06-19T02:27:18Z</dcterms:modified>
</cp:coreProperties>
</file>