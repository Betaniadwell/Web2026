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F13" i="5" l="1"/>
  <c r="I15" i="5" l="1"/>
  <c r="L9" i="5" l="1"/>
  <c r="H77" i="5" l="1"/>
  <c r="C62" i="5" l="1"/>
  <c r="D64" i="5"/>
  <c r="C52" i="5" l="1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M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contando tarjetas financiadas 130000</t>
        </r>
      </text>
    </comment>
    <comment ref="F4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L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ref tarjeta</t>
        </r>
      </text>
    </comment>
    <comment ref="L6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L7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  <comment ref="C9" authorId="0">
      <text>
        <r>
          <rPr>
            <b/>
            <sz val="9"/>
            <color indexed="81"/>
            <rFont val="Tahoma"/>
            <charset val="1"/>
          </rPr>
          <t>Edgardo Omar:5 aportes nesesarios</t>
        </r>
      </text>
    </comment>
    <comment ref="K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K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<sst xmlns="http://schemas.openxmlformats.org/spreadsheetml/2006/main" count="304" uniqueCount="206">
  <si>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</si>
  <si>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</si>
  <si>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</si>
  <si>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</si>
  <si>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</si>
  <si>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</si>
  <si>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</si>
  <si>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</si>
  <si>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</si>
  <si>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</si>
  <si>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</si>
  <si>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</si>
  <si>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</si>
  <si>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</si>
  <si>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</si>
  <si>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</si>
  <si>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</si>
  <si>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</si>
  <si>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</si>
  <si>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</si>
  <si>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</si>
  <si>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</si>
  <si>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</si>
  <si>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</si>
  <si>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</si>
  <si>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</si>
  <si>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</si>
  <si>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</si>
  <si>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</si>
  <si>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</si>
  <si>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</si>
  <si>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</si>
  <si>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</si>
  <si>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</si>
  <si>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</si>
  <si>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</si>
  <si>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</si>
  <si>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</si>
  <si>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</si>
  <si>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</si>
  <si>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</si>
  <si>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</si>
  <si>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</si>
  <si>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</si>
  <si>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</si>
  <si>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</si>
  <si>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</si>
  <si>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</si>
  <si>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</si>
  <si>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</si>
  <si>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</si>
  <si>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</si>
  <si>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</si>
  <si>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</si>
  <si>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</si>
  <si>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</si>
  <si>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</si>
  <si>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</si>
  <si>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</si>
  <si>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</si>
  <si>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</si>
  <si>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</si>
  <si>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</si>
  <si>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</si>
  <si>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</si>
  <si>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</si>
  <si>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</si>
  <si>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</si>
  <si>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</si>
  <si>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</si>
  <si>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</si>
  <si>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</si>
  <si>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</si>
  <si>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</si>
  <si>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</si>
  <si>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</si>
  <si>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</si>
  <si>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</si>
  <si>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</si>
  <si>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</si>
  <si>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</si>
  <si>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</si>
  <si>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</si>
  <si>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</si>
  <si>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</si>
  <si>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</si>
  <si>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</si>
  <si>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</si>
  <si>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</si>
  <si>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</si>
  <si>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</si>
  <si>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</si>
  <si>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</si>
  <si>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</si>
  <si>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</si>
  <si>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</si>
  <si>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</si>
  <si>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</si>
  <si>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</si>
  <si>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</si>
  <si>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</si>
  <si>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</si>
  <si>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</si>
  <si>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</si>
  <si>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</si>
  <si>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</si>
  <si>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</si>
  <si>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</si>
  <si>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</si>
  <si>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</si>
  <si>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</si>
  <si>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</si>
  <si>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</si>
  <si>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</si>
  <si>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</si>
  <si>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</si>
  <si>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</si>
  <si>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</si>
  <si>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</si>
  <si>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</si>
  <si>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</si>
  <si>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</si>
  <si>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</si>
  <si>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</si>
  <si>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</si>
  <si>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</si>
  <si>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</si>
  <si>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</si>
  <si>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</si>
  <si>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</si>
  <si>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</si>
  <si>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</si>
  <si>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</si>
  <si>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</si>
  <si>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</si>
  <si>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</si>
  <si>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</si>
  <si>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</si>
  <si>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</si>
  <si>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</si>
  <si>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</si>
  <si>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</si>
  <si>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</si>
  <si>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</si>
  <si>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</si>
  <si>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</si>
  <si>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</si>
  <si>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</si>
  <si>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</si>
  <si>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</si>
  <si>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</si>
  <si>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</si>
  <si>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</si>
  <si>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</si>
  <si>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</si>
  <si>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</si>
  <si>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</si>
  <si>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</si>
  <si>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</si>
  <si>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</si>
  <si>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</si>
  <si>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</si>
  <si>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</si>
  <si>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</si>
  <si>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</si>
  <si>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</si>
  <si>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</si>
  <si>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</si>
  <si>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</si>
  <si>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</si>
  <si>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</si>
  <si>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 xml:space="preserve">Cuenta corriente </t>
  </si>
  <si>
    <t>Y P F</t>
  </si>
  <si>
    <t xml:space="preserve"> Carrefour Omar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</si>
  <si>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</si>
  <si>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</si>
  <si>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</si>
  <si>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</si>
  <si>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</si>
  <si>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</si>
  <si>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</si>
  <si>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</si>
  <si>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</si>
  <si>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</si>
  <si>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</si>
  <si>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</si>
  <si>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</si>
  <si>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</si>
  <si>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Ser e Impuestos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</si>
  <si>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</si>
  <si>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</si>
  <si>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</si>
  <si>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</si>
  <si>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</si>
  <si>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</si>
  <si>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</si>
  <si>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MARZO</t>
  </si>
  <si>
    <t>Feb</t>
  </si>
  <si>
    <t>Mar</t>
  </si>
  <si>
    <t>Abr</t>
  </si>
  <si>
    <t>May</t>
  </si>
  <si>
    <t xml:space="preserve">Jun </t>
  </si>
  <si>
    <t>Jul</t>
  </si>
  <si>
    <t>62,374,52</t>
  </si>
  <si>
    <t>Patente</t>
  </si>
  <si>
    <t>Gasto mens prest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</si>
</sst>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7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b/>
      <sz val="9"/>
      <color indexed="81"/>
      <name val="Tahoma"/>
      <charset val="1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59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9" fillId="21" borderId="29" xfId="0" applyFont="1" applyFill="1" applyBorder="1"/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7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9" fillId="3" borderId="2" xfId="0" applyFont="1" applyFill="1" applyBorder="1"/>
    <xf numFmtId="16" fontId="29" fillId="26" borderId="2" xfId="0" applyNumberFormat="1" applyFont="1" applyFill="1" applyBorder="1"/>
    <xf numFmtId="0" fontId="29" fillId="26" borderId="2" xfId="0" applyFont="1" applyFill="1" applyBorder="1" applyAlignment="1">
      <alignment horizontal="right"/>
    </xf>
    <xf numFmtId="0" fontId="12" fillId="26" borderId="12" xfId="0" applyFont="1" applyFill="1" applyBorder="1"/>
    <xf numFmtId="0" fontId="12" fillId="26" borderId="2" xfId="0" applyFont="1" applyFill="1" applyBorder="1"/>
    <xf numFmtId="0" fontId="12" fillId="26" borderId="0" xfId="0" applyFont="1" applyFill="1"/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17" fillId="35" borderId="7" xfId="0" applyFont="1" applyFill="1" applyBorder="1" applyAlignment="1">
      <alignment horizontal="center"/>
    </xf>
    <xf numFmtId="0" fontId="30" fillId="35" borderId="13" xfId="0" applyFont="1" applyFill="1" applyBorder="1" applyAlignment="1">
      <alignment horizontal="left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35" borderId="7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50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50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2" fillId="26" borderId="35" xfId="0" applyFont="1" applyFill="1" applyBorder="1" applyAlignment="1">
      <alignment horizontal="center"/>
    </xf>
    <xf numFmtId="0" fontId="52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7" fillId="26" borderId="32" xfId="0" applyFont="1" applyFill="1" applyBorder="1"/>
    <xf numFmtId="0" fontId="7" fillId="26" borderId="14" xfId="0" applyFont="1" applyFill="1" applyBorder="1"/>
    <xf numFmtId="0" fontId="47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6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2" fillId="26" borderId="44" xfId="0" applyNumberFormat="1" applyFont="1" applyFill="1" applyBorder="1"/>
    <xf numFmtId="0" fontId="53" fillId="26" borderId="24" xfId="0" applyFont="1" applyFill="1" applyBorder="1"/>
    <xf numFmtId="0" fontId="12" fillId="26" borderId="14" xfId="0" applyFont="1" applyFill="1" applyBorder="1"/>
    <xf numFmtId="0" fontId="7" fillId="3" borderId="11" xfId="0" applyFont="1" applyFill="1" applyBorder="1" applyAlignment="1">
      <alignment horizontal="right"/>
    </xf>
    <xf numFmtId="0" fontId="0" fillId="3" borderId="12" xfId="0" applyFill="1" applyBorder="1" applyAlignment="1">
      <alignment horizontal="right"/>
    </xf>
    <xf numFmtId="0" fontId="51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30" fillId="35" borderId="29" xfId="0" applyFont="1" applyFill="1" applyBorder="1" applyAlignment="1">
      <alignment horizontal="left"/>
    </xf>
    <xf numFmtId="0" fontId="29" fillId="26" borderId="7" xfId="0" applyFont="1" applyFill="1" applyBorder="1"/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8" fillId="26" borderId="7" xfId="0" applyFont="1" applyFill="1" applyBorder="1"/>
    <xf numFmtId="0" fontId="0" fillId="28" borderId="16" xfId="0" applyFill="1" applyBorder="1"/>
    <xf numFmtId="0" fontId="0" fillId="28" borderId="33" xfId="0" applyFill="1" applyBorder="1"/>
    <xf numFmtId="0" fontId="29" fillId="26" borderId="2" xfId="0" applyFont="1" applyFill="1" applyBorder="1" applyAlignment="1">
      <alignment horizontal="center"/>
    </xf>
    <xf numFmtId="0" fontId="51" fillId="26" borderId="7" xfId="0" applyNumberFormat="1" applyFont="1" applyFill="1" applyBorder="1"/>
    <xf numFmtId="0" fontId="29" fillId="26" borderId="13" xfId="0" applyFont="1" applyFill="1" applyBorder="1" applyAlignment="1">
      <alignment horizontal="right"/>
    </xf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29" fillId="26" borderId="13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17" fillId="2" borderId="2" xfId="0" applyFont="1" applyFill="1" applyBorder="1" applyAlignment="1">
      <alignment horizontal="center"/>
    </xf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0" fontId="38" fillId="26" borderId="11" xfId="0" applyFont="1" applyFill="1" applyBorder="1"/>
    <xf numFmtId="0" fontId="17" fillId="35" borderId="11" xfId="0" applyFont="1" applyFill="1" applyBorder="1" applyAlignment="1">
      <alignment horizontal="center"/>
    </xf>
    <xf numFmtId="0" fontId="36" fillId="26" borderId="2" xfId="0" applyFont="1" applyFill="1" applyBorder="1" applyAlignment="1">
      <alignment horizontal="right"/>
    </xf>
    <xf numFmtId="0" fontId="36" fillId="26" borderId="2" xfId="0" applyFont="1" applyFill="1" applyBorder="1"/>
    <xf numFmtId="0" fontId="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4" xfId="0" applyFill="1" applyBorder="1"/>
    <xf numFmtId="0" fontId="7" fillId="3" borderId="12" xfId="0" applyFont="1" applyFill="1" applyBorder="1"/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0" fontId="0" fillId="33" borderId="1" xfId="0" applyFill="1" applyBorder="1"/>
    <xf numFmtId="0" fontId="0" fillId="33" borderId="1" xfId="0" applyFill="1" applyBorder="1" applyAlignment="1">
      <alignment horizontal="right"/>
    </xf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16" fontId="0" fillId="3" borderId="18" xfId="0" applyNumberFormat="1" applyFill="1" applyBorder="1"/>
    <xf numFmtId="0" fontId="29" fillId="26" borderId="18" xfId="0" applyFont="1" applyFill="1" applyBorder="1"/>
    <xf numFmtId="16" fontId="29" fillId="26" borderId="7" xfId="0" applyNumberFormat="1" applyFont="1" applyFill="1" applyBorder="1"/>
    <xf numFmtId="0" fontId="17" fillId="35" borderId="18" xfId="0" applyFont="1" applyFill="1" applyBorder="1" applyAlignment="1">
      <alignment horizontal="right"/>
    </xf>
    <xf numFmtId="0" fontId="0" fillId="35" borderId="18" xfId="0" applyFill="1" applyBorder="1"/>
    <xf numFmtId="0" fontId="29" fillId="26" borderId="14" xfId="0" applyFont="1" applyFill="1" applyBorder="1"/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1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6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43" fillId="26" borderId="2" xfId="0" applyFont="1" applyFill="1" applyBorder="1"/>
    <xf numFmtId="0" fontId="7" fillId="16" borderId="0" xfId="0" applyFont="1" applyFill="1" applyAlignment="1">
      <alignment horizontal="center"/>
    </xf>
    <xf numFmtId="0" fontId="7" fillId="35" borderId="7" xfId="0" applyFont="1" applyFill="1" applyBorder="1" applyAlignment="1">
      <alignment horizontal="left"/>
    </xf>
    <xf numFmtId="0" fontId="7" fillId="26" borderId="7" xfId="0" applyFont="1" applyFill="1" applyBorder="1" applyAlignment="1">
      <alignment horizontal="left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29" fillId="26" borderId="20" xfId="0" applyFont="1" applyFill="1" applyBorder="1"/>
    <xf numFmtId="0" fontId="17" fillId="35" borderId="22" xfId="0" applyFont="1" applyFill="1" applyBorder="1" applyAlignment="1">
      <alignment horizontal="center"/>
    </xf>
    <xf numFmtId="0" fontId="54" fillId="35" borderId="2" xfId="0" applyFont="1" applyFill="1" applyBorder="1"/>
    <xf numFmtId="0" fontId="45" fillId="35" borderId="2" xfId="0" applyFont="1" applyFill="1" applyBorder="1" applyAlignment="1">
      <alignment horizontal="right"/>
    </xf>
    <xf numFmtId="0" fontId="55" fillId="35" borderId="2" xfId="0" applyFont="1" applyFill="1" applyBorder="1"/>
    <xf numFmtId="0" fontId="38" fillId="35" borderId="2" xfId="0" applyFont="1" applyFill="1" applyBorder="1"/>
    <xf numFmtId="0" fontId="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5" fillId="26" borderId="2" xfId="0" applyNumberFormat="1" applyFont="1" applyFill="1" applyBorder="1"/>
    <xf numFmtId="2" fontId="55" fillId="26" borderId="2" xfId="0" applyNumberFormat="1" applyFont="1" applyFill="1" applyBorder="1" applyAlignment="1">
      <alignment horizontal="right"/>
    </xf>
    <xf numFmtId="2" fontId="17" fillId="35" borderId="2" xfId="0" applyNumberFormat="1" applyFont="1" applyFill="1" applyBorder="1" applyAlignment="1">
      <alignment horizontal="center"/>
    </xf>
    <xf numFmtId="2" fontId="17" fillId="35" borderId="0" xfId="0" applyNumberFormat="1" applyFont="1" applyFill="1" applyAlignment="1">
      <alignment horizontal="center"/>
    </xf>
    <xf numFmtId="2" fontId="7" fillId="26" borderId="2" xfId="0" applyNumberFormat="1" applyFont="1" applyFill="1" applyBorder="1" applyAlignment="1">
      <alignment horizontal="center"/>
    </xf>
    <xf numFmtId="2" fontId="7" fillId="35" borderId="11" xfId="0" applyNumberFormat="1" applyFont="1" applyFill="1" applyBorder="1" applyAlignment="1">
      <alignment horizontal="center"/>
    </xf>
    <xf numFmtId="2" fontId="0" fillId="35" borderId="20" xfId="0" applyNumberFormat="1" applyFill="1" applyBorder="1"/>
    <xf numFmtId="0" fontId="29" fillId="26" borderId="46" xfId="0" applyFont="1" applyFill="1" applyBorder="1"/>
    <xf numFmtId="0" fontId="50" fillId="26" borderId="14" xfId="0" applyFont="1" applyFill="1" applyBorder="1"/>
    <xf numFmtId="0" fontId="12" fillId="26" borderId="11" xfId="0" applyFont="1" applyFill="1" applyBorder="1" applyAlignment="1">
      <alignment horizontal="right"/>
    </xf>
    <xf numFmtId="2" fontId="7" fillId="35" borderId="2" xfId="0" applyNumberFormat="1" applyFont="1" applyFill="1" applyBorder="1" applyAlignment="1">
      <alignment horizontal="center"/>
    </xf>
    <xf numFmtId="0" fontId="50" fillId="35" borderId="2" xfId="0" applyFont="1" applyFill="1" applyBorder="1"/>
    <xf numFmtId="0" fontId="12" fillId="35" borderId="2" xfId="0" applyFont="1" applyFill="1" applyBorder="1"/>
    <xf numFmtId="0" fontId="12" fillId="35" borderId="2" xfId="0" applyFont="1" applyFill="1" applyBorder="1" applyAlignment="1">
      <alignment horizontal="right"/>
    </xf>
    <xf numFmtId="0" fontId="36" fillId="35" borderId="2" xfId="0" applyFont="1" applyFill="1" applyBorder="1" applyAlignment="1"/>
    <xf numFmtId="2" fontId="55" fillId="35" borderId="11" xfId="0" applyNumberFormat="1" applyFont="1" applyFill="1" applyBorder="1" applyAlignment="1">
      <alignment horizontal="right"/>
    </xf>
    <xf numFmtId="2" fontId="55" fillId="35" borderId="15" xfId="0" applyNumberFormat="1" applyFont="1" applyFill="1" applyBorder="1" applyAlignment="1">
      <alignment horizontal="right"/>
    </xf>
    <xf numFmtId="2" fontId="0" fillId="35" borderId="45" xfId="0" applyNumberFormat="1" applyFill="1" applyBorder="1"/>
    <xf numFmtId="2" fontId="17" fillId="35" borderId="7" xfId="0" applyNumberFormat="1" applyFont="1" applyFill="1" applyBorder="1"/>
    <xf numFmtId="2" fontId="17" fillId="35" borderId="7" xfId="0" applyNumberFormat="1" applyFont="1" applyFill="1" applyBorder="1" applyAlignment="1">
      <alignment horizontal="right"/>
    </xf>
    <xf numFmtId="0" fontId="29" fillId="35" borderId="7" xfId="0" applyFont="1" applyFill="1" applyBorder="1"/>
    <xf numFmtId="0" fontId="0" fillId="35" borderId="16" xfId="0" applyFill="1" applyBorder="1"/>
    <xf numFmtId="0" fontId="29" fillId="35" borderId="18" xfId="0" applyFont="1" applyFill="1" applyBorder="1"/>
    <xf numFmtId="0" fontId="12" fillId="35" borderId="0" xfId="0" applyFont="1" applyFill="1"/>
    <xf numFmtId="0" fontId="12" fillId="35" borderId="7" xfId="0" applyFont="1" applyFill="1" applyBorder="1"/>
    <xf numFmtId="0" fontId="12" fillId="35" borderId="19" xfId="0" applyFont="1" applyFill="1" applyBorder="1"/>
    <xf numFmtId="0" fontId="0" fillId="35" borderId="28" xfId="0" applyFill="1" applyBorder="1"/>
    <xf numFmtId="0" fontId="29" fillId="27" borderId="7" xfId="0" applyFont="1" applyFill="1" applyBorder="1" applyAlignment="1">
      <alignment horizontal="center"/>
    </xf>
    <xf numFmtId="0" fontId="17" fillId="35" borderId="13" xfId="0" applyFont="1" applyFill="1" applyBorder="1" applyAlignment="1">
      <alignment horizontal="right"/>
    </xf>
    <xf numFmtId="0" fontId="53" fillId="35" borderId="11" xfId="0" applyFont="1" applyFill="1" applyBorder="1"/>
    <xf numFmtId="0" fontId="51" fillId="35" borderId="12" xfId="0" applyFont="1" applyFill="1" applyBorder="1"/>
    <xf numFmtId="2" fontId="17" fillId="35" borderId="1" xfId="0" applyNumberFormat="1" applyFont="1" applyFill="1" applyBorder="1" applyAlignment="1">
      <alignment horizontal="center"/>
    </xf>
    <xf numFmtId="2" fontId="17" fillId="35" borderId="11" xfId="0" applyNumberFormat="1" applyFont="1" applyFill="1" applyBorder="1" applyAlignment="1">
      <alignment horizontal="center"/>
    </xf>
    <xf numFmtId="0" fontId="7" fillId="26" borderId="20" xfId="0" applyFont="1" applyFill="1" applyBorder="1" applyAlignment="1">
      <alignment horizontal="center"/>
    </xf>
    <xf numFmtId="2" fontId="7" fillId="35" borderId="1" xfId="0" applyNumberFormat="1" applyFont="1" applyFill="1" applyBorder="1" applyAlignment="1">
      <alignment horizontal="center"/>
    </xf>
    <xf numFmtId="0" fontId="7" fillId="4" borderId="7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twoCellAnchor>
    <xdr:from>
      <xdr:col>10</xdr:col>
      <xdr:colOff>180975</xdr:colOff>
      <xdr:row>59</xdr:row>
      <xdr:rowOff>161925</xdr:rowOff>
    </xdr:from>
    <xdr:to>
      <xdr:col>10</xdr:col>
      <xdr:colOff>847725</xdr:colOff>
      <xdr:row>61</xdr:row>
      <xdr:rowOff>38100</xdr:rowOff>
    </xdr:to>
    <xdr:sp macro="" textlink="">
      <xdr:nvSpPr>
        <xdr:cNvPr id="2" name="1 Flecha a la derecha con muesca"/>
        <xdr:cNvSpPr/>
      </xdr:nvSpPr>
      <xdr:spPr>
        <a:xfrm>
          <a:off x="10334625" y="11630025"/>
          <a:ext cx="666750" cy="257175"/>
        </a:xfrm>
        <a:prstGeom prst="notch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72"/>
  <sheetViews>
    <sheetView tabSelected="1" workbookViewId="0">
      <selection activeCell="F8" sqref="F8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2.28515625" customWidth="1"/>
    <col min="11" max="11" width="13.42578125" customWidth="1"/>
    <col min="12" max="12" width="17.5703125" customWidth="1"/>
    <col min="13" max="13" width="13.85546875" customWidth="1"/>
    <col min="15" max="15" width="10" bestFit="1" customWidth="1"/>
    <col min="16" max="16" width="12" bestFit="1" customWidth="1"/>
  </cols>
  <sheetData>
    <row r="1" spans="1:14" ht="15.75" x14ac:dyDescent="0.25">
      <c r="A1" s="299" t="s">
        <v>187</v>
      </c>
      <c r="B1" s="301"/>
      <c r="C1" s="376" t="s">
        <v>1</v>
      </c>
      <c r="D1" s="267" t="s">
        <v>2</v>
      </c>
      <c r="E1" s="267" t="s">
        <v>3</v>
      </c>
      <c r="F1" s="267" t="s">
        <v>183</v>
      </c>
      <c r="G1" s="268" t="s">
        <v>55</v>
      </c>
      <c r="H1" s="274"/>
      <c r="I1" s="354" t="s">
        <v>6</v>
      </c>
      <c r="J1" s="355" t="s">
        <v>30</v>
      </c>
      <c r="K1" s="410" t="s">
        <v>204</v>
      </c>
      <c r="L1" s="360" t="s">
        <v>205</v>
      </c>
      <c r="M1" s="101"/>
      <c r="N1" s="50"/>
    </row>
    <row r="2" spans="1:14" x14ac:dyDescent="0.25">
      <c r="A2" s="291"/>
      <c r="B2" s="302"/>
      <c r="C2" s="407"/>
      <c r="D2" s="403"/>
      <c r="E2" s="289"/>
      <c r="F2" s="408"/>
      <c r="G2" s="198"/>
      <c r="H2" s="271"/>
      <c r="I2" s="270"/>
      <c r="J2" s="395"/>
      <c r="K2" s="331"/>
      <c r="L2" s="423">
        <v>102247</v>
      </c>
      <c r="M2" s="112">
        <v>150000</v>
      </c>
      <c r="N2" s="50"/>
    </row>
    <row r="3" spans="1:14" x14ac:dyDescent="0.25">
      <c r="A3" s="291"/>
      <c r="B3" s="302"/>
      <c r="C3" s="289"/>
      <c r="D3" s="198"/>
      <c r="E3" s="198"/>
      <c r="F3" s="290"/>
      <c r="G3" s="271"/>
      <c r="H3" s="271"/>
      <c r="I3" s="198"/>
      <c r="J3" s="288"/>
      <c r="K3" s="331"/>
      <c r="L3" s="424">
        <v>67275.839999999997</v>
      </c>
      <c r="M3" s="101"/>
      <c r="N3" s="50"/>
    </row>
    <row r="4" spans="1:14" s="1" customFormat="1" ht="18.75" x14ac:dyDescent="0.3">
      <c r="A4" s="406" t="s">
        <v>21</v>
      </c>
      <c r="B4" s="271"/>
      <c r="C4" s="394">
        <v>27000</v>
      </c>
      <c r="D4" s="421">
        <v>17814</v>
      </c>
      <c r="E4" s="289">
        <v>9444.76</v>
      </c>
      <c r="F4" s="289">
        <v>20000</v>
      </c>
      <c r="G4" s="271"/>
      <c r="H4" s="271"/>
      <c r="I4" s="58">
        <v>21158.21</v>
      </c>
      <c r="J4" s="178">
        <v>5581</v>
      </c>
      <c r="K4" s="331"/>
      <c r="L4" s="423">
        <v>236679.18</v>
      </c>
      <c r="M4" s="101"/>
      <c r="N4" s="50"/>
    </row>
    <row r="5" spans="1:14" x14ac:dyDescent="0.25">
      <c r="A5" s="291"/>
      <c r="B5" s="302"/>
      <c r="C5" s="289"/>
      <c r="D5" s="289"/>
      <c r="E5" s="289"/>
      <c r="F5" s="290"/>
      <c r="G5" s="271"/>
      <c r="H5" s="271"/>
      <c r="I5" s="289"/>
      <c r="J5" s="271"/>
      <c r="K5" s="288"/>
      <c r="L5" s="424">
        <v>130000</v>
      </c>
      <c r="M5" s="101"/>
      <c r="N5" s="50"/>
    </row>
    <row r="6" spans="1:14" x14ac:dyDescent="0.25">
      <c r="A6" s="271"/>
      <c r="B6" s="271"/>
      <c r="C6" s="271"/>
      <c r="D6" s="271"/>
      <c r="E6" s="271"/>
      <c r="F6" s="271"/>
      <c r="G6" s="271"/>
      <c r="H6" s="271"/>
      <c r="I6" s="271"/>
      <c r="J6" s="271"/>
      <c r="K6" s="288"/>
      <c r="L6" s="423">
        <v>69853</v>
      </c>
      <c r="M6" s="101"/>
      <c r="N6" s="50"/>
    </row>
    <row r="7" spans="1:14" s="1" customFormat="1" ht="16.5" thickBot="1" x14ac:dyDescent="0.3">
      <c r="A7" s="291"/>
      <c r="B7" s="357"/>
      <c r="C7" s="262" t="s">
        <v>194</v>
      </c>
      <c r="D7" s="263" t="s">
        <v>193</v>
      </c>
      <c r="E7" s="263" t="s">
        <v>192</v>
      </c>
      <c r="F7" s="264" t="s">
        <v>50</v>
      </c>
      <c r="G7" s="264" t="s">
        <v>32</v>
      </c>
      <c r="H7" s="265" t="s">
        <v>171</v>
      </c>
      <c r="I7" s="275" t="s">
        <v>173</v>
      </c>
      <c r="J7" s="278" t="s">
        <v>150</v>
      </c>
      <c r="K7" s="458" t="s">
        <v>186</v>
      </c>
      <c r="L7" s="438">
        <v>13800</v>
      </c>
      <c r="M7" s="248"/>
      <c r="N7" s="51"/>
    </row>
    <row r="8" spans="1:14" ht="16.5" thickBot="1" x14ac:dyDescent="0.3">
      <c r="A8" s="300"/>
      <c r="B8" s="294"/>
      <c r="C8" s="290"/>
      <c r="D8" s="295"/>
      <c r="E8" s="291"/>
      <c r="F8" s="291"/>
      <c r="G8" s="296"/>
      <c r="H8" s="291"/>
      <c r="I8" s="291"/>
      <c r="J8" s="297"/>
      <c r="K8" s="271"/>
      <c r="L8" s="439">
        <v>130000</v>
      </c>
      <c r="M8" s="248"/>
      <c r="N8" s="51"/>
    </row>
    <row r="9" spans="1:14" x14ac:dyDescent="0.25">
      <c r="A9" s="291"/>
      <c r="B9" s="411"/>
      <c r="C9" s="417">
        <v>150000</v>
      </c>
      <c r="D9" s="416"/>
      <c r="E9" s="292"/>
      <c r="F9" s="292"/>
      <c r="G9" s="289"/>
      <c r="H9" s="292"/>
      <c r="I9" s="292"/>
      <c r="J9" s="293"/>
      <c r="K9" s="271"/>
      <c r="L9" s="440">
        <f>SUM(L2:L8)</f>
        <v>749855.02</v>
      </c>
      <c r="M9" s="248"/>
      <c r="N9" s="51"/>
    </row>
    <row r="10" spans="1:14" x14ac:dyDescent="0.25">
      <c r="A10" s="291"/>
      <c r="B10" s="411"/>
      <c r="C10" s="418"/>
      <c r="D10" s="413"/>
      <c r="E10" s="295"/>
      <c r="F10" s="292"/>
      <c r="G10" s="292"/>
      <c r="H10" s="292"/>
      <c r="I10" s="292"/>
      <c r="J10" s="293"/>
      <c r="K10" s="441">
        <v>69853</v>
      </c>
      <c r="L10" s="271"/>
      <c r="M10" s="51"/>
      <c r="N10" s="51"/>
    </row>
    <row r="11" spans="1:14" x14ac:dyDescent="0.25">
      <c r="A11" s="291" t="s">
        <v>196</v>
      </c>
      <c r="B11" s="288"/>
      <c r="C11" s="198"/>
      <c r="D11" s="414">
        <v>91000</v>
      </c>
      <c r="E11" s="375">
        <v>5307</v>
      </c>
      <c r="F11" s="425">
        <v>297567</v>
      </c>
      <c r="G11" s="150">
        <v>406202.02</v>
      </c>
      <c r="H11" s="292">
        <v>1000000</v>
      </c>
      <c r="I11" s="425">
        <v>255458</v>
      </c>
      <c r="J11" s="271"/>
      <c r="K11" s="442">
        <v>13800</v>
      </c>
      <c r="L11" s="271"/>
      <c r="M11" s="51"/>
      <c r="N11" s="51"/>
    </row>
    <row r="12" spans="1:14" ht="15.75" thickBot="1" x14ac:dyDescent="0.3">
      <c r="A12" s="273"/>
      <c r="B12" s="412"/>
      <c r="C12" s="452"/>
      <c r="D12" s="422"/>
      <c r="E12" s="292"/>
      <c r="F12" s="455">
        <v>4022.77</v>
      </c>
      <c r="G12" s="394"/>
      <c r="H12" s="304"/>
      <c r="I12" s="426">
        <v>90764</v>
      </c>
      <c r="J12" s="288"/>
      <c r="K12" s="271"/>
      <c r="L12" s="271"/>
      <c r="M12" s="248"/>
      <c r="N12" s="51"/>
    </row>
    <row r="13" spans="1:14" s="1" customFormat="1" ht="15.75" thickBot="1" x14ac:dyDescent="0.3">
      <c r="A13" s="270"/>
      <c r="B13" s="308"/>
      <c r="C13" s="273"/>
      <c r="D13" s="451"/>
      <c r="E13" s="277"/>
      <c r="F13" s="457">
        <f>SUM(F11:F12)</f>
        <v>301589.77</v>
      </c>
      <c r="G13" s="305"/>
      <c r="H13" s="328"/>
      <c r="I13" s="427">
        <v>-20000</v>
      </c>
      <c r="J13" s="306"/>
      <c r="K13" s="271"/>
      <c r="L13" s="271"/>
      <c r="M13" s="248"/>
      <c r="N13" s="51"/>
    </row>
    <row r="14" spans="1:14" s="1" customFormat="1" ht="15.75" thickBot="1" x14ac:dyDescent="0.3">
      <c r="A14" s="270"/>
      <c r="B14" s="308"/>
      <c r="C14" s="453"/>
      <c r="D14" s="305"/>
      <c r="E14" s="331"/>
      <c r="F14" s="456"/>
      <c r="G14" s="304"/>
      <c r="H14" s="328"/>
      <c r="I14" s="428">
        <v>46138</v>
      </c>
      <c r="J14" s="330"/>
      <c r="K14" s="271"/>
      <c r="L14" s="271"/>
      <c r="M14" s="248"/>
      <c r="N14" s="51"/>
    </row>
    <row r="15" spans="1:14" ht="15.75" thickBot="1" x14ac:dyDescent="0.3">
      <c r="A15" s="270"/>
      <c r="B15" s="308"/>
      <c r="C15" s="419"/>
      <c r="D15" s="305"/>
      <c r="E15" s="398"/>
      <c r="F15" s="358"/>
      <c r="G15" s="304"/>
      <c r="H15" s="399"/>
      <c r="I15" s="454">
        <f>SUM(I11:I14)</f>
        <v>372360</v>
      </c>
      <c r="J15" s="401"/>
      <c r="K15" s="443"/>
      <c r="L15" s="444"/>
      <c r="M15" s="248"/>
      <c r="N15" s="51"/>
    </row>
    <row r="16" spans="1:14" x14ac:dyDescent="0.25">
      <c r="A16" s="271"/>
      <c r="B16" s="288"/>
      <c r="C16" s="420"/>
      <c r="D16" s="305"/>
      <c r="E16" s="398"/>
      <c r="F16" s="358"/>
      <c r="G16" s="394"/>
      <c r="H16" s="400"/>
      <c r="I16" s="429"/>
      <c r="J16" s="282"/>
      <c r="K16" s="445"/>
      <c r="L16" s="271"/>
      <c r="M16" s="248"/>
      <c r="N16" s="51"/>
    </row>
    <row r="17" spans="1:14" x14ac:dyDescent="0.25">
      <c r="A17" s="271"/>
      <c r="B17" s="288"/>
      <c r="C17" s="271"/>
      <c r="D17" s="305"/>
      <c r="E17" s="308"/>
      <c r="F17" s="358"/>
      <c r="G17" s="304"/>
      <c r="H17" s="397"/>
      <c r="I17" s="111"/>
      <c r="J17" s="430"/>
      <c r="K17" s="443"/>
      <c r="L17" s="271"/>
      <c r="M17" s="248"/>
      <c r="N17" s="51"/>
    </row>
    <row r="18" spans="1:14" x14ac:dyDescent="0.25">
      <c r="A18" s="403"/>
      <c r="B18" s="405"/>
      <c r="C18" s="404"/>
      <c r="D18" s="304"/>
      <c r="E18" s="282"/>
      <c r="F18" s="415"/>
      <c r="G18" s="304"/>
      <c r="H18" s="397"/>
      <c r="I18" s="111"/>
      <c r="J18" s="111"/>
      <c r="K18" s="445"/>
      <c r="L18" s="271"/>
      <c r="M18" s="248"/>
      <c r="N18" s="51"/>
    </row>
    <row r="19" spans="1:14" x14ac:dyDescent="0.25">
      <c r="A19" s="307"/>
      <c r="B19" s="308"/>
      <c r="C19" s="367"/>
      <c r="D19" s="366"/>
      <c r="E19" s="368"/>
      <c r="F19" s="358"/>
      <c r="G19" s="304"/>
      <c r="H19" s="371"/>
      <c r="I19" s="370"/>
      <c r="J19" s="370"/>
      <c r="K19" s="443"/>
      <c r="L19" s="271"/>
      <c r="M19" s="248"/>
      <c r="N19" s="51"/>
    </row>
    <row r="20" spans="1:14" x14ac:dyDescent="0.25">
      <c r="A20" s="306"/>
      <c r="B20" s="308"/>
      <c r="C20" s="353"/>
      <c r="D20" s="370"/>
      <c r="E20" s="281"/>
      <c r="F20" s="111"/>
      <c r="G20" s="338"/>
      <c r="H20" s="282"/>
      <c r="I20" s="111"/>
      <c r="J20" s="111"/>
      <c r="K20" s="443"/>
      <c r="L20" s="271"/>
      <c r="M20" s="248"/>
      <c r="N20" s="51"/>
    </row>
    <row r="21" spans="1:14" x14ac:dyDescent="0.25">
      <c r="A21" s="307"/>
      <c r="B21" s="303"/>
      <c r="C21" s="402" t="s">
        <v>8</v>
      </c>
      <c r="D21" s="450" t="s">
        <v>54</v>
      </c>
      <c r="E21" s="272" t="s">
        <v>195</v>
      </c>
      <c r="F21" s="276" t="s">
        <v>179</v>
      </c>
      <c r="G21" s="266" t="s">
        <v>58</v>
      </c>
      <c r="H21" s="356" t="s">
        <v>80</v>
      </c>
      <c r="I21" s="269" t="s">
        <v>55</v>
      </c>
      <c r="J21" s="298" t="s">
        <v>172</v>
      </c>
      <c r="K21" s="288"/>
      <c r="L21" s="291"/>
      <c r="M21" s="248"/>
      <c r="N21" s="51"/>
    </row>
    <row r="22" spans="1:14" x14ac:dyDescent="0.25">
      <c r="A22" s="291"/>
      <c r="B22" s="309"/>
      <c r="C22" s="310"/>
      <c r="D22" s="409"/>
      <c r="E22" s="284"/>
      <c r="F22" s="284"/>
      <c r="G22" s="284"/>
      <c r="H22" s="284">
        <v>59159</v>
      </c>
      <c r="I22" s="284"/>
      <c r="J22" s="284"/>
      <c r="K22" s="446"/>
      <c r="L22" s="271"/>
      <c r="M22" s="248"/>
      <c r="N22" s="51"/>
    </row>
    <row r="23" spans="1:14" x14ac:dyDescent="0.25">
      <c r="A23" s="304"/>
      <c r="B23" s="309"/>
      <c r="C23" s="310"/>
      <c r="D23" s="277"/>
      <c r="E23" s="287"/>
      <c r="F23" s="284"/>
      <c r="G23" s="284"/>
      <c r="H23" s="284"/>
      <c r="I23" s="284"/>
      <c r="J23" s="284"/>
      <c r="K23" s="447"/>
      <c r="L23" s="444"/>
      <c r="M23" s="248"/>
      <c r="N23" s="51"/>
    </row>
    <row r="24" spans="1:14" x14ac:dyDescent="0.25">
      <c r="A24" s="304"/>
      <c r="B24" s="309"/>
      <c r="C24" s="310"/>
      <c r="D24" s="310"/>
      <c r="E24" s="284"/>
      <c r="F24" s="284"/>
      <c r="G24" s="284"/>
      <c r="H24" s="284"/>
      <c r="I24" s="284"/>
      <c r="J24" s="284"/>
      <c r="K24" s="447"/>
      <c r="L24" s="444"/>
      <c r="M24" s="248"/>
      <c r="N24" s="51"/>
    </row>
    <row r="25" spans="1:14" x14ac:dyDescent="0.25">
      <c r="A25" s="304"/>
      <c r="B25" s="311"/>
      <c r="C25" s="310"/>
      <c r="D25" s="310"/>
      <c r="E25" s="284"/>
      <c r="F25" s="284"/>
      <c r="G25" s="284"/>
      <c r="H25" s="284"/>
      <c r="I25" s="284"/>
      <c r="J25" s="284"/>
      <c r="K25" s="447"/>
      <c r="L25" s="444"/>
      <c r="M25" s="248"/>
      <c r="N25" s="51"/>
    </row>
    <row r="26" spans="1:14" x14ac:dyDescent="0.25">
      <c r="A26" s="304"/>
      <c r="B26" s="311"/>
      <c r="C26" s="310"/>
      <c r="D26" s="310"/>
      <c r="E26" s="284"/>
      <c r="F26" s="285"/>
      <c r="G26" s="284"/>
      <c r="H26" s="284"/>
      <c r="I26" s="284"/>
      <c r="J26" s="284"/>
      <c r="K26" s="447"/>
      <c r="L26" s="444"/>
      <c r="M26" s="248"/>
      <c r="N26" s="51"/>
    </row>
    <row r="27" spans="1:14" x14ac:dyDescent="0.25">
      <c r="A27" s="377"/>
      <c r="B27" s="378"/>
      <c r="C27" s="310"/>
      <c r="D27" s="284"/>
      <c r="E27" s="284"/>
      <c r="F27" s="284"/>
      <c r="G27" s="284"/>
      <c r="H27" s="284"/>
      <c r="I27" s="284"/>
      <c r="J27" s="284"/>
      <c r="K27" s="447"/>
      <c r="L27" s="444"/>
      <c r="M27" s="248"/>
      <c r="N27" s="51"/>
    </row>
    <row r="28" spans="1:14" x14ac:dyDescent="0.25">
      <c r="A28" s="277"/>
      <c r="B28" s="273"/>
      <c r="C28" s="431"/>
      <c r="D28" s="350"/>
      <c r="E28" s="315"/>
      <c r="F28" s="432"/>
      <c r="G28" s="379"/>
      <c r="H28" s="315"/>
      <c r="I28" s="315"/>
      <c r="J28" s="315"/>
      <c r="K28" s="448"/>
      <c r="L28" s="449"/>
      <c r="M28" s="248"/>
      <c r="N28" s="51"/>
    </row>
    <row r="29" spans="1:14" x14ac:dyDescent="0.25">
      <c r="A29" s="433"/>
      <c r="B29" s="271"/>
      <c r="C29" s="434"/>
      <c r="D29" s="435"/>
      <c r="E29" s="436"/>
      <c r="F29" s="436"/>
      <c r="G29" s="437"/>
      <c r="H29" s="198"/>
      <c r="I29" s="435"/>
      <c r="J29" s="435"/>
      <c r="K29" s="435"/>
      <c r="L29" s="271"/>
      <c r="M29" s="248"/>
      <c r="N29" s="51"/>
    </row>
    <row r="30" spans="1:14" x14ac:dyDescent="0.25">
      <c r="A30" s="271"/>
      <c r="B30" s="271"/>
      <c r="C30" s="271"/>
      <c r="D30" s="271"/>
      <c r="E30" s="271"/>
      <c r="F30" s="271"/>
      <c r="G30" s="271"/>
      <c r="H30" s="271"/>
      <c r="I30" s="271"/>
      <c r="J30" s="271"/>
      <c r="K30" s="271"/>
      <c r="L30" s="271"/>
      <c r="M30" s="248"/>
      <c r="N30" s="51"/>
    </row>
    <row r="31" spans="1:14" x14ac:dyDescent="0.25">
      <c r="A31" s="271"/>
      <c r="B31" s="271"/>
      <c r="C31" s="271"/>
      <c r="D31" s="271"/>
      <c r="E31" s="271"/>
      <c r="F31" s="271"/>
      <c r="G31" s="271"/>
      <c r="H31" s="271"/>
      <c r="I31" s="271"/>
      <c r="J31" s="271"/>
      <c r="K31" s="271"/>
      <c r="L31" s="271"/>
      <c r="M31" s="248"/>
      <c r="N31" s="51"/>
    </row>
    <row r="32" spans="1:14" x14ac:dyDescent="0.25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48"/>
      <c r="N32" s="51"/>
    </row>
    <row r="33" spans="1:14" x14ac:dyDescent="0.25">
      <c r="A33" s="271"/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48"/>
      <c r="N33" s="51"/>
    </row>
    <row r="34" spans="1:14" x14ac:dyDescent="0.25">
      <c r="A34" s="271"/>
      <c r="B34" s="271"/>
      <c r="C34" s="271"/>
      <c r="D34" s="271"/>
      <c r="E34" s="271"/>
      <c r="F34" s="271"/>
      <c r="G34" s="271"/>
      <c r="H34" s="271"/>
      <c r="I34" s="271"/>
      <c r="J34" s="271"/>
      <c r="K34" s="271"/>
      <c r="L34" s="271"/>
      <c r="M34" s="248"/>
      <c r="N34" s="51"/>
    </row>
    <row r="35" spans="1:14" x14ac:dyDescent="0.25">
      <c r="A35" s="271"/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48"/>
      <c r="N35" s="51"/>
    </row>
    <row r="36" spans="1:14" x14ac:dyDescent="0.25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48"/>
      <c r="N36" s="51"/>
    </row>
    <row r="37" spans="1:14" x14ac:dyDescent="0.25">
      <c r="A37" s="271"/>
      <c r="B37" s="271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48"/>
      <c r="N37" s="51"/>
    </row>
    <row r="38" spans="1:14" x14ac:dyDescent="0.25">
      <c r="A38" s="270"/>
      <c r="B38" s="304"/>
      <c r="C38" s="310"/>
      <c r="D38" s="312"/>
      <c r="E38" s="284"/>
      <c r="F38" s="359"/>
      <c r="G38" s="380"/>
      <c r="H38" s="270"/>
      <c r="I38" s="312"/>
      <c r="J38" s="284"/>
      <c r="K38" s="359"/>
      <c r="L38" s="364"/>
      <c r="M38" s="248"/>
      <c r="N38" s="51"/>
    </row>
    <row r="39" spans="1:14" x14ac:dyDescent="0.25">
      <c r="A39" s="306"/>
      <c r="B39" s="304"/>
      <c r="C39" s="313"/>
      <c r="D39" s="312"/>
      <c r="E39" s="284"/>
      <c r="F39" s="359"/>
      <c r="G39" s="381"/>
      <c r="H39" s="270"/>
      <c r="I39" s="312"/>
      <c r="J39" s="284"/>
      <c r="K39" s="359"/>
      <c r="L39" s="364"/>
      <c r="M39" s="248"/>
      <c r="N39" s="51"/>
    </row>
    <row r="40" spans="1:14" x14ac:dyDescent="0.25">
      <c r="A40" s="306"/>
      <c r="B40" s="304"/>
      <c r="C40" s="310"/>
      <c r="D40" s="312"/>
      <c r="E40" s="284"/>
      <c r="F40" s="359"/>
      <c r="G40" s="284"/>
      <c r="H40" s="270"/>
      <c r="I40" s="312"/>
      <c r="J40" s="284"/>
      <c r="K40" s="359"/>
      <c r="L40" s="364"/>
      <c r="M40" s="248"/>
      <c r="N40" s="51"/>
    </row>
    <row r="41" spans="1:14" x14ac:dyDescent="0.25">
      <c r="A41" s="314"/>
      <c r="B41" s="304"/>
      <c r="C41" s="310"/>
      <c r="D41" s="312"/>
      <c r="E41" s="284"/>
      <c r="F41" s="359"/>
      <c r="G41" s="284"/>
      <c r="H41" s="284"/>
      <c r="I41" s="312"/>
      <c r="J41" s="284"/>
      <c r="K41" s="359"/>
      <c r="L41" s="364"/>
      <c r="M41" s="248"/>
      <c r="N41" s="51"/>
    </row>
    <row r="42" spans="1:14" x14ac:dyDescent="0.25">
      <c r="A42" s="306"/>
      <c r="B42" s="304"/>
      <c r="C42" s="310"/>
      <c r="D42" s="312"/>
      <c r="E42" s="284"/>
      <c r="F42" s="284"/>
      <c r="G42" s="284"/>
      <c r="H42" s="284"/>
      <c r="I42" s="284"/>
      <c r="J42" s="284"/>
      <c r="K42" s="359"/>
      <c r="L42" s="364"/>
      <c r="M42" s="248"/>
      <c r="N42" s="51"/>
    </row>
    <row r="43" spans="1:14" ht="15.75" thickBot="1" x14ac:dyDescent="0.3">
      <c r="A43" s="306"/>
      <c r="B43" s="304"/>
      <c r="C43" s="310"/>
      <c r="D43" s="312"/>
      <c r="E43" s="284"/>
      <c r="F43" s="284"/>
      <c r="G43" s="315"/>
      <c r="H43" s="284"/>
      <c r="I43" s="284"/>
      <c r="J43" s="270"/>
      <c r="K43" s="359"/>
      <c r="L43" s="364"/>
      <c r="M43" s="248"/>
      <c r="N43" s="51"/>
    </row>
    <row r="44" spans="1:14" ht="15.75" thickBot="1" x14ac:dyDescent="0.3">
      <c r="A44" s="306"/>
      <c r="B44" s="304"/>
      <c r="C44" s="310"/>
      <c r="D44" s="315"/>
      <c r="E44" s="350"/>
      <c r="F44" s="315"/>
      <c r="G44" s="318" t="s">
        <v>24</v>
      </c>
      <c r="H44" s="315"/>
      <c r="I44" s="315"/>
      <c r="J44" s="284"/>
      <c r="K44" s="359"/>
      <c r="L44" s="364"/>
      <c r="M44" s="248"/>
      <c r="N44" s="51"/>
    </row>
    <row r="45" spans="1:14" ht="19.5" thickBot="1" x14ac:dyDescent="0.35">
      <c r="A45" s="306"/>
      <c r="B45" s="316" t="s">
        <v>191</v>
      </c>
      <c r="C45" s="317" t="s">
        <v>24</v>
      </c>
      <c r="D45" s="339"/>
      <c r="E45" s="284"/>
      <c r="F45" s="347" t="s">
        <v>185</v>
      </c>
      <c r="G45" s="322" t="s">
        <v>178</v>
      </c>
      <c r="H45" s="318" t="s">
        <v>20</v>
      </c>
      <c r="I45" s="319" t="s">
        <v>21</v>
      </c>
      <c r="J45" s="312"/>
      <c r="K45" s="359"/>
      <c r="L45" s="364"/>
      <c r="M45" s="248"/>
      <c r="N45" s="51"/>
    </row>
    <row r="46" spans="1:14" ht="19.5" thickBot="1" x14ac:dyDescent="0.35">
      <c r="A46" s="310"/>
      <c r="B46" s="320"/>
      <c r="C46" s="321"/>
      <c r="D46" s="273"/>
      <c r="E46" s="284"/>
      <c r="F46" s="348"/>
      <c r="G46" s="326"/>
      <c r="H46" s="323" t="s">
        <v>178</v>
      </c>
      <c r="I46" s="324" t="s">
        <v>178</v>
      </c>
      <c r="J46" s="312"/>
      <c r="K46" s="359"/>
      <c r="L46" s="364"/>
      <c r="M46" s="248"/>
      <c r="N46" s="51"/>
    </row>
    <row r="47" spans="1:14" x14ac:dyDescent="0.25">
      <c r="A47" s="310"/>
      <c r="B47" s="325" t="s">
        <v>174</v>
      </c>
      <c r="C47" s="273">
        <v>419230</v>
      </c>
      <c r="D47" s="270"/>
      <c r="E47" s="284"/>
      <c r="F47" s="349" t="s">
        <v>188</v>
      </c>
      <c r="G47" s="329"/>
      <c r="H47" s="327"/>
      <c r="I47" s="283"/>
      <c r="J47" s="284"/>
      <c r="K47" s="359"/>
      <c r="L47" s="364"/>
      <c r="M47" s="248"/>
      <c r="N47" s="51"/>
    </row>
    <row r="48" spans="1:14" x14ac:dyDescent="0.25">
      <c r="A48" s="311"/>
      <c r="B48" s="325" t="s">
        <v>17</v>
      </c>
      <c r="C48" s="366">
        <v>400000</v>
      </c>
      <c r="D48" s="270"/>
      <c r="E48" s="304"/>
      <c r="F48" s="343" t="s">
        <v>189</v>
      </c>
      <c r="G48" s="329"/>
      <c r="H48" s="330"/>
      <c r="I48" s="304"/>
      <c r="J48" s="304"/>
      <c r="K48" s="331"/>
      <c r="L48" s="364"/>
      <c r="M48" s="286"/>
      <c r="N48" s="51"/>
    </row>
    <row r="49" spans="1:14" x14ac:dyDescent="0.25">
      <c r="A49" s="311"/>
      <c r="B49" s="325" t="s">
        <v>175</v>
      </c>
      <c r="C49" s="366">
        <v>300000</v>
      </c>
      <c r="D49" s="270"/>
      <c r="E49" s="304"/>
      <c r="F49" s="343" t="s">
        <v>190</v>
      </c>
      <c r="G49" s="329"/>
      <c r="H49" s="330"/>
      <c r="I49" s="304"/>
      <c r="J49" s="304"/>
      <c r="K49" s="362"/>
      <c r="L49" s="364"/>
      <c r="M49" s="286"/>
      <c r="N49" s="51"/>
    </row>
    <row r="50" spans="1:14" x14ac:dyDescent="0.25">
      <c r="A50" s="311"/>
      <c r="B50" s="325" t="s">
        <v>176</v>
      </c>
      <c r="C50" s="366">
        <v>300000</v>
      </c>
      <c r="D50" s="270"/>
      <c r="E50" s="304"/>
      <c r="F50" s="343" t="s">
        <v>179</v>
      </c>
      <c r="G50" s="329"/>
      <c r="H50" s="330"/>
      <c r="I50" s="304"/>
      <c r="J50" s="304"/>
      <c r="K50" s="362"/>
      <c r="L50" s="364"/>
      <c r="M50" s="286"/>
      <c r="N50" s="51"/>
    </row>
    <row r="51" spans="1:14" ht="16.5" thickBot="1" x14ac:dyDescent="0.3">
      <c r="A51" s="311"/>
      <c r="B51" s="346" t="s">
        <v>177</v>
      </c>
      <c r="C51" s="369">
        <v>500000</v>
      </c>
      <c r="D51" s="306"/>
      <c r="E51" s="304"/>
      <c r="F51" s="343" t="s">
        <v>181</v>
      </c>
      <c r="G51" s="333"/>
      <c r="H51" s="330"/>
      <c r="I51" s="304"/>
      <c r="J51" s="304"/>
      <c r="K51" s="362"/>
      <c r="L51" s="364"/>
      <c r="M51" s="286"/>
      <c r="N51" s="51"/>
    </row>
    <row r="52" spans="1:14" ht="16.5" thickBot="1" x14ac:dyDescent="0.3">
      <c r="A52" s="340"/>
      <c r="B52" s="332" t="s">
        <v>71</v>
      </c>
      <c r="C52" s="374">
        <f>SUM(C47:C51)</f>
        <v>1919230</v>
      </c>
      <c r="D52" s="372"/>
      <c r="E52" s="304"/>
      <c r="F52" s="343" t="s">
        <v>182</v>
      </c>
      <c r="G52" s="335"/>
      <c r="H52" s="334"/>
      <c r="I52" s="304"/>
      <c r="J52" s="304"/>
      <c r="K52" s="340"/>
      <c r="L52" s="364"/>
      <c r="M52" s="286"/>
      <c r="N52" s="51"/>
    </row>
    <row r="53" spans="1:14" ht="19.5" thickBot="1" x14ac:dyDescent="0.35">
      <c r="A53" s="340"/>
      <c r="B53" s="321"/>
      <c r="C53" s="373"/>
      <c r="D53" s="304"/>
      <c r="E53" s="304"/>
      <c r="F53" s="344" t="s">
        <v>180</v>
      </c>
      <c r="G53" s="321"/>
      <c r="H53" s="336"/>
      <c r="I53" s="305"/>
      <c r="J53" s="304"/>
      <c r="K53" s="362"/>
      <c r="L53" s="364"/>
      <c r="M53" s="286"/>
      <c r="N53" s="51"/>
    </row>
    <row r="54" spans="1:14" ht="15.75" thickBot="1" x14ac:dyDescent="0.3">
      <c r="A54" s="341"/>
      <c r="B54" s="304"/>
      <c r="C54" s="304"/>
      <c r="D54" s="304"/>
      <c r="E54" s="304"/>
      <c r="F54" s="305"/>
      <c r="G54" s="337" t="s">
        <v>178</v>
      </c>
      <c r="H54" s="321"/>
      <c r="I54" s="304"/>
      <c r="J54" s="304"/>
      <c r="K54" s="363"/>
      <c r="L54" s="364"/>
      <c r="M54" s="286"/>
      <c r="N54" s="51"/>
    </row>
    <row r="55" spans="1:14" x14ac:dyDescent="0.25">
      <c r="A55" s="342"/>
      <c r="B55" s="304"/>
      <c r="C55" s="304"/>
      <c r="D55" s="304"/>
      <c r="E55" s="304"/>
      <c r="F55" s="345"/>
      <c r="G55" s="304"/>
      <c r="H55" s="337" t="s">
        <v>178</v>
      </c>
      <c r="I55" s="270"/>
      <c r="J55" s="304"/>
      <c r="K55" s="361"/>
      <c r="L55" s="364"/>
      <c r="M55" s="286"/>
      <c r="N55" s="51"/>
    </row>
    <row r="56" spans="1:14" ht="15.75" thickBot="1" x14ac:dyDescent="0.3">
      <c r="A56" s="342"/>
      <c r="B56" s="304"/>
      <c r="C56" s="304"/>
      <c r="D56" s="304"/>
      <c r="E56" s="304"/>
      <c r="F56" s="305"/>
      <c r="G56" s="51"/>
      <c r="H56" s="304"/>
      <c r="I56" s="270"/>
      <c r="J56" s="304"/>
      <c r="K56" s="331"/>
      <c r="L56" s="365"/>
      <c r="M56" s="286"/>
      <c r="N56" s="51"/>
    </row>
    <row r="57" spans="1:14" x14ac:dyDescent="0.25">
      <c r="A57" s="342"/>
      <c r="B57" s="51"/>
      <c r="C57" s="51"/>
      <c r="D57" s="51"/>
      <c r="E57" s="51"/>
      <c r="F57" s="248"/>
      <c r="G57" s="98"/>
      <c r="H57" s="51"/>
      <c r="I57" s="89"/>
      <c r="J57" s="51"/>
      <c r="K57" s="51"/>
      <c r="L57" s="253"/>
      <c r="M57" s="87"/>
      <c r="N57" s="51"/>
    </row>
    <row r="58" spans="1:14" x14ac:dyDescent="0.25">
      <c r="A58" s="342"/>
      <c r="B58" s="51"/>
      <c r="C58" s="51"/>
      <c r="D58" s="51">
        <v>3801.42</v>
      </c>
      <c r="E58" s="98" t="s">
        <v>197</v>
      </c>
      <c r="F58" s="382" t="s">
        <v>198</v>
      </c>
      <c r="G58" s="98"/>
      <c r="H58" s="98"/>
      <c r="I58" s="89"/>
      <c r="J58" s="51"/>
      <c r="K58" s="51"/>
      <c r="L58" s="51"/>
      <c r="M58" s="87"/>
      <c r="N58" s="51"/>
    </row>
    <row r="59" spans="1:14" x14ac:dyDescent="0.25">
      <c r="A59" s="342"/>
      <c r="B59" s="51"/>
      <c r="C59" s="51">
        <v>10760.39</v>
      </c>
      <c r="D59" s="51">
        <v>6644.52</v>
      </c>
      <c r="E59" s="98" t="s">
        <v>197</v>
      </c>
      <c r="F59" s="383" t="s">
        <v>198</v>
      </c>
      <c r="G59" s="98" t="s">
        <v>199</v>
      </c>
      <c r="H59" s="98"/>
      <c r="I59" s="384"/>
      <c r="J59" s="120"/>
      <c r="K59" s="120"/>
      <c r="L59" s="51"/>
      <c r="M59" s="87"/>
      <c r="N59" s="51"/>
    </row>
    <row r="60" spans="1:14" x14ac:dyDescent="0.25">
      <c r="A60" s="342"/>
      <c r="B60" s="51"/>
      <c r="C60" s="51">
        <v>19601</v>
      </c>
      <c r="D60" s="51">
        <v>10760.39</v>
      </c>
      <c r="E60" s="98" t="s">
        <v>197</v>
      </c>
      <c r="F60" s="383" t="s">
        <v>198</v>
      </c>
      <c r="G60" s="98" t="s">
        <v>199</v>
      </c>
      <c r="H60" s="98" t="s">
        <v>200</v>
      </c>
      <c r="I60" s="385" t="s">
        <v>201</v>
      </c>
      <c r="J60" s="51" t="s">
        <v>202</v>
      </c>
      <c r="K60" s="51"/>
      <c r="L60" s="248"/>
      <c r="M60" s="87"/>
      <c r="N60" s="51"/>
    </row>
    <row r="61" spans="1:14" x14ac:dyDescent="0.25">
      <c r="A61" s="342"/>
      <c r="B61" s="51"/>
      <c r="C61" s="51"/>
      <c r="D61" s="51">
        <v>19601</v>
      </c>
      <c r="E61" s="98" t="s">
        <v>197</v>
      </c>
      <c r="F61" s="383" t="s">
        <v>198</v>
      </c>
      <c r="G61" s="98" t="s">
        <v>199</v>
      </c>
      <c r="H61" s="98" t="s">
        <v>200</v>
      </c>
      <c r="I61" s="385" t="s">
        <v>201</v>
      </c>
      <c r="J61" s="51" t="s">
        <v>202</v>
      </c>
      <c r="K61" s="51"/>
      <c r="L61" s="248"/>
      <c r="M61" s="87"/>
      <c r="N61" s="51"/>
    </row>
    <row r="62" spans="1:14" ht="15.75" thickBot="1" x14ac:dyDescent="0.3">
      <c r="A62" s="328"/>
      <c r="B62" s="190"/>
      <c r="C62" s="51">
        <f>SUM(C59:C61)</f>
        <v>30361.39</v>
      </c>
      <c r="D62" s="51">
        <v>5822.42</v>
      </c>
      <c r="E62" s="98" t="s">
        <v>197</v>
      </c>
      <c r="F62" s="383" t="s">
        <v>198</v>
      </c>
      <c r="G62" s="386"/>
      <c r="H62" s="98" t="s">
        <v>200</v>
      </c>
      <c r="I62" s="99"/>
      <c r="J62" s="51"/>
      <c r="K62" s="51"/>
      <c r="L62" s="248"/>
      <c r="M62" s="87"/>
      <c r="N62" s="51"/>
    </row>
    <row r="63" spans="1:14" ht="15.75" thickBot="1" x14ac:dyDescent="0.3">
      <c r="A63" s="331"/>
      <c r="B63" s="190"/>
      <c r="C63" s="51"/>
      <c r="D63" s="120">
        <v>15744.77</v>
      </c>
      <c r="E63" s="386" t="s">
        <v>197</v>
      </c>
      <c r="F63" s="387" t="s">
        <v>198</v>
      </c>
      <c r="G63" s="393">
        <v>36183.39</v>
      </c>
      <c r="H63" s="384"/>
      <c r="I63" s="390"/>
      <c r="J63" s="253"/>
      <c r="K63" s="391"/>
      <c r="L63" s="51"/>
      <c r="M63" s="87"/>
      <c r="N63" s="51"/>
    </row>
    <row r="64" spans="1:14" ht="15.75" thickBot="1" x14ac:dyDescent="0.3">
      <c r="A64" s="331"/>
      <c r="B64" s="190"/>
      <c r="C64" s="87"/>
      <c r="D64" s="392">
        <f>SUM(D58:D63)</f>
        <v>62374.520000000004</v>
      </c>
      <c r="E64" s="392">
        <v>62374.52</v>
      </c>
      <c r="F64" s="393" t="s">
        <v>203</v>
      </c>
      <c r="G64" s="253"/>
      <c r="H64" s="393">
        <v>36183.39</v>
      </c>
      <c r="I64" s="393">
        <v>30361.39</v>
      </c>
      <c r="J64" s="393">
        <v>30361.39</v>
      </c>
      <c r="K64" s="392">
        <v>19601</v>
      </c>
      <c r="L64" s="248"/>
      <c r="M64" s="87"/>
      <c r="N64" s="51"/>
    </row>
    <row r="65" spans="1:14" x14ac:dyDescent="0.25">
      <c r="A65" s="331"/>
      <c r="B65" s="51"/>
      <c r="C65" s="51"/>
      <c r="D65" s="253"/>
      <c r="E65" s="253"/>
      <c r="F65" s="388"/>
      <c r="G65" s="51"/>
      <c r="H65" s="389"/>
      <c r="I65" s="253"/>
      <c r="J65" s="51"/>
      <c r="K65" s="253"/>
      <c r="L65" s="51"/>
      <c r="M65" s="87"/>
      <c r="N65" s="51"/>
    </row>
    <row r="66" spans="1:14" x14ac:dyDescent="0.25">
      <c r="A66" s="331"/>
      <c r="B66" s="51"/>
      <c r="C66" s="51"/>
      <c r="D66" s="51"/>
      <c r="E66" s="51"/>
      <c r="F66" s="248"/>
      <c r="G66" s="51"/>
      <c r="H66" s="89"/>
      <c r="I66" s="51"/>
      <c r="J66" s="51"/>
      <c r="K66" s="51"/>
      <c r="L66" s="51"/>
      <c r="M66" s="87"/>
      <c r="N66" s="51"/>
    </row>
    <row r="67" spans="1:14" x14ac:dyDescent="0.25">
      <c r="A67" s="331"/>
      <c r="B67" s="51"/>
      <c r="C67" s="51"/>
      <c r="D67" s="51"/>
      <c r="E67" s="51"/>
      <c r="F67" s="248"/>
      <c r="G67" s="51"/>
      <c r="H67" s="118"/>
      <c r="I67" s="51"/>
      <c r="J67" s="51"/>
      <c r="K67" s="51"/>
      <c r="L67" s="51"/>
      <c r="M67" s="87"/>
      <c r="N67" s="51"/>
    </row>
    <row r="68" spans="1:14" x14ac:dyDescent="0.25">
      <c r="A68" s="304"/>
      <c r="B68" s="51"/>
      <c r="C68" s="51"/>
      <c r="D68" s="51"/>
      <c r="E68" s="51"/>
      <c r="F68" s="51"/>
      <c r="G68" s="51"/>
      <c r="H68" s="118"/>
      <c r="I68" s="51"/>
      <c r="J68" s="51"/>
      <c r="K68" s="51"/>
      <c r="L68" s="51"/>
      <c r="M68" s="87"/>
      <c r="N68" s="51"/>
    </row>
    <row r="69" spans="1:14" x14ac:dyDescent="0.25">
      <c r="A69" s="304"/>
      <c r="B69" s="51"/>
      <c r="C69" s="51"/>
      <c r="D69" s="51"/>
      <c r="E69" s="51"/>
      <c r="F69" s="51"/>
      <c r="G69" s="51"/>
      <c r="H69" s="118"/>
      <c r="I69" s="51"/>
      <c r="J69" s="51"/>
      <c r="K69" s="51"/>
      <c r="L69" s="51"/>
      <c r="M69" s="87"/>
      <c r="N69" s="51"/>
    </row>
    <row r="70" spans="1:14" x14ac:dyDescent="0.25">
      <c r="A70" s="304"/>
      <c r="B70" s="51"/>
      <c r="C70" s="51"/>
      <c r="D70" s="51"/>
      <c r="E70" s="51"/>
      <c r="F70" s="51"/>
      <c r="G70" s="51"/>
      <c r="H70" s="118"/>
      <c r="I70" s="51"/>
      <c r="J70" s="118"/>
      <c r="K70" s="51"/>
      <c r="L70" s="51"/>
      <c r="M70" s="87"/>
      <c r="N70" s="51"/>
    </row>
    <row r="71" spans="1:14" x14ac:dyDescent="0.25">
      <c r="A71" s="304"/>
      <c r="B71" s="51"/>
      <c r="C71" s="51"/>
      <c r="D71" s="51"/>
      <c r="E71" s="51"/>
      <c r="F71" s="51"/>
      <c r="G71" s="51"/>
      <c r="H71" s="118"/>
      <c r="I71" s="51"/>
      <c r="J71" s="51"/>
      <c r="K71" s="51"/>
      <c r="L71" s="51"/>
      <c r="M71" s="87"/>
      <c r="N71" s="51"/>
    </row>
    <row r="72" spans="1:14" x14ac:dyDescent="0.25">
      <c r="A72" s="304"/>
      <c r="B72" s="51"/>
      <c r="C72" s="51"/>
      <c r="D72" s="51"/>
      <c r="E72" s="51"/>
      <c r="F72" s="51"/>
      <c r="G72" s="51"/>
      <c r="H72" s="118">
        <v>320959</v>
      </c>
      <c r="I72" s="199">
        <v>46092</v>
      </c>
      <c r="J72" s="51"/>
      <c r="K72" s="51"/>
      <c r="L72" s="51"/>
      <c r="M72" s="87"/>
      <c r="N72" s="51"/>
    </row>
    <row r="73" spans="1:14" x14ac:dyDescent="0.25">
      <c r="A73" s="304"/>
      <c r="B73" s="51"/>
      <c r="C73" s="51"/>
      <c r="D73" s="51"/>
      <c r="E73" s="51"/>
      <c r="F73" s="51"/>
      <c r="G73" s="51"/>
      <c r="H73" s="89">
        <v>310000</v>
      </c>
      <c r="I73" s="199">
        <v>46093</v>
      </c>
      <c r="J73" s="51"/>
      <c r="K73" s="51"/>
      <c r="L73" s="51"/>
      <c r="M73" s="87"/>
      <c r="N73" s="51"/>
    </row>
    <row r="74" spans="1:14" x14ac:dyDescent="0.25">
      <c r="A74" s="304"/>
      <c r="B74" s="51"/>
      <c r="C74" s="51"/>
      <c r="D74" s="51"/>
      <c r="E74" s="51"/>
      <c r="F74" s="51"/>
      <c r="G74" s="51"/>
      <c r="H74" s="89">
        <v>436108.36</v>
      </c>
      <c r="I74" s="199">
        <v>46095</v>
      </c>
      <c r="J74" s="51"/>
      <c r="K74" s="51"/>
      <c r="L74" s="51"/>
      <c r="M74" s="87"/>
      <c r="N74" s="51"/>
    </row>
    <row r="75" spans="1:14" x14ac:dyDescent="0.25">
      <c r="A75" s="304"/>
      <c r="B75" s="51"/>
      <c r="C75" s="51"/>
      <c r="D75" s="51"/>
      <c r="E75" s="51"/>
      <c r="F75" s="51"/>
      <c r="G75" s="51"/>
      <c r="H75" s="118">
        <v>432480</v>
      </c>
      <c r="I75" s="199">
        <v>46095</v>
      </c>
      <c r="J75" s="51"/>
      <c r="K75" s="51"/>
      <c r="L75" s="51"/>
      <c r="M75" s="87"/>
      <c r="N75" s="51"/>
    </row>
    <row r="76" spans="1:14" x14ac:dyDescent="0.25">
      <c r="A76" s="304"/>
      <c r="B76" s="51"/>
      <c r="C76" s="51"/>
      <c r="D76" s="51"/>
      <c r="E76" s="51"/>
      <c r="F76" s="120"/>
      <c r="G76" s="396"/>
      <c r="H76" s="351">
        <v>545859</v>
      </c>
      <c r="I76" s="199">
        <v>46106</v>
      </c>
      <c r="J76" s="51"/>
      <c r="K76" s="51"/>
      <c r="L76" s="51"/>
      <c r="M76" s="87"/>
      <c r="N76" s="51"/>
    </row>
    <row r="77" spans="1:14" x14ac:dyDescent="0.25">
      <c r="A77" s="304"/>
      <c r="B77" s="51"/>
      <c r="C77" s="51"/>
      <c r="D77" s="51"/>
      <c r="E77" s="87"/>
      <c r="F77" s="51"/>
      <c r="G77" s="199"/>
      <c r="H77" s="118">
        <f>SUM(H72:H76)</f>
        <v>2045406.3599999999</v>
      </c>
      <c r="I77" s="248"/>
      <c r="J77" s="51"/>
      <c r="K77" s="51"/>
      <c r="L77" s="51"/>
      <c r="M77" s="87"/>
      <c r="N77" s="51"/>
    </row>
    <row r="78" spans="1:14" x14ac:dyDescent="0.25">
      <c r="A78" s="304"/>
      <c r="B78" s="51"/>
      <c r="C78" s="51"/>
      <c r="D78" s="89"/>
      <c r="E78" s="51"/>
      <c r="F78" s="253"/>
      <c r="G78" s="51"/>
      <c r="H78" s="352"/>
      <c r="I78" s="117"/>
      <c r="J78" s="51"/>
      <c r="K78" s="51"/>
      <c r="L78" s="51"/>
      <c r="M78" s="87"/>
      <c r="N78" s="51"/>
    </row>
    <row r="79" spans="1:14" x14ac:dyDescent="0.25">
      <c r="A79" s="304"/>
      <c r="B79" s="51"/>
      <c r="C79" s="51"/>
      <c r="D79" s="89"/>
      <c r="E79" s="51"/>
      <c r="F79" s="51"/>
      <c r="G79" s="51"/>
      <c r="H79" s="117"/>
      <c r="I79" s="51"/>
      <c r="J79" s="51"/>
      <c r="K79" s="51"/>
      <c r="L79" s="51"/>
      <c r="M79" s="87"/>
      <c r="N79" s="51"/>
    </row>
    <row r="80" spans="1:14" x14ac:dyDescent="0.25">
      <c r="A80" s="304"/>
      <c r="B80" s="51"/>
      <c r="C80" s="51"/>
      <c r="D80" s="89"/>
      <c r="E80" s="51"/>
      <c r="F80" s="51"/>
      <c r="G80" s="51"/>
      <c r="H80" s="117"/>
      <c r="I80" s="51"/>
      <c r="J80" s="51"/>
      <c r="K80" s="51"/>
      <c r="L80" s="51"/>
      <c r="M80" s="87"/>
      <c r="N80" s="51"/>
    </row>
    <row r="81" spans="1:14" x14ac:dyDescent="0.25">
      <c r="A81" s="304"/>
      <c r="B81" s="51"/>
      <c r="C81" s="51"/>
      <c r="D81" s="89"/>
      <c r="E81" s="51"/>
      <c r="F81" s="51"/>
      <c r="G81" s="51"/>
      <c r="H81" s="117"/>
      <c r="I81" s="51"/>
      <c r="J81" s="51"/>
      <c r="K81" s="51"/>
      <c r="L81" s="51"/>
      <c r="M81" s="87"/>
      <c r="N81" s="51"/>
    </row>
    <row r="82" spans="1:14" x14ac:dyDescent="0.25">
      <c r="A82" s="304"/>
      <c r="B82" s="51"/>
      <c r="C82" s="51"/>
      <c r="D82" s="51"/>
      <c r="E82" s="51"/>
      <c r="F82" s="51"/>
      <c r="G82" s="51"/>
      <c r="H82" s="117"/>
      <c r="I82" s="51"/>
      <c r="J82" s="51"/>
      <c r="K82" s="51"/>
      <c r="L82" s="51"/>
      <c r="M82" s="87"/>
      <c r="N82" s="51"/>
    </row>
    <row r="83" spans="1:14" x14ac:dyDescent="0.25">
      <c r="A83" s="304"/>
      <c r="B83" s="51"/>
      <c r="C83" s="51"/>
      <c r="D83" s="51"/>
      <c r="E83" s="51"/>
      <c r="F83" s="51"/>
      <c r="G83" s="51"/>
      <c r="H83" s="117"/>
      <c r="I83" s="51"/>
      <c r="J83" s="51"/>
      <c r="K83" s="51"/>
      <c r="L83" s="51"/>
      <c r="M83" s="87"/>
      <c r="N83" s="51"/>
    </row>
    <row r="84" spans="1:14" x14ac:dyDescent="0.25">
      <c r="A84" s="304"/>
      <c r="B84" s="51"/>
      <c r="C84" s="51"/>
      <c r="D84" s="51"/>
      <c r="E84" s="51"/>
      <c r="F84" s="51"/>
      <c r="G84" s="51"/>
      <c r="H84" s="117"/>
      <c r="I84" s="51"/>
      <c r="J84" s="51"/>
      <c r="K84" s="51"/>
      <c r="L84" s="51"/>
      <c r="M84" s="87"/>
      <c r="N84" s="51"/>
    </row>
    <row r="85" spans="1:14" x14ac:dyDescent="0.25">
      <c r="A85" s="304"/>
      <c r="B85" s="51"/>
      <c r="C85" s="51"/>
      <c r="D85" s="51"/>
      <c r="E85" s="51"/>
      <c r="F85" s="51"/>
      <c r="G85" s="51"/>
      <c r="H85" s="117"/>
      <c r="I85" s="51"/>
      <c r="J85" s="51"/>
      <c r="K85" s="51"/>
      <c r="L85" s="51"/>
      <c r="M85" s="87"/>
      <c r="N85" s="51"/>
    </row>
    <row r="86" spans="1:14" x14ac:dyDescent="0.25">
      <c r="A86" s="304"/>
      <c r="B86" s="51"/>
      <c r="C86" s="51"/>
      <c r="D86" s="51"/>
      <c r="E86" s="51"/>
      <c r="F86" s="51"/>
      <c r="G86" s="51"/>
      <c r="H86" s="117"/>
      <c r="I86" s="51"/>
      <c r="J86" s="51"/>
      <c r="K86" s="51"/>
      <c r="L86" s="51"/>
      <c r="M86" s="87"/>
      <c r="N86" s="51"/>
    </row>
    <row r="87" spans="1:14" x14ac:dyDescent="0.25">
      <c r="A87" s="304"/>
      <c r="B87" s="51"/>
      <c r="C87" s="51"/>
      <c r="D87" s="51"/>
      <c r="E87" s="51"/>
      <c r="F87" s="51"/>
      <c r="G87" s="51"/>
      <c r="H87" s="117"/>
      <c r="I87" s="51"/>
      <c r="J87" s="51"/>
      <c r="K87" s="51"/>
      <c r="L87" s="51"/>
      <c r="M87" s="87"/>
      <c r="N87" s="51"/>
    </row>
    <row r="88" spans="1:14" x14ac:dyDescent="0.25">
      <c r="A88" s="304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</row>
    <row r="89" spans="1:14" x14ac:dyDescent="0.25">
      <c r="A89" s="304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</row>
    <row r="90" spans="1:14" x14ac:dyDescent="0.25">
      <c r="A90" s="304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</row>
    <row r="91" spans="1:14" x14ac:dyDescent="0.25">
      <c r="A91" s="304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</row>
    <row r="92" spans="1:14" x14ac:dyDescent="0.25">
      <c r="A92" s="304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</row>
    <row r="93" spans="1:14" x14ac:dyDescent="0.25">
      <c r="A93" s="304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</row>
    <row r="94" spans="1:14" x14ac:dyDescent="0.25">
      <c r="A94" s="304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</row>
    <row r="95" spans="1:14" x14ac:dyDescent="0.25">
      <c r="A95" s="304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</row>
    <row r="96" spans="1:14" x14ac:dyDescent="0.25">
      <c r="A96" s="304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</row>
    <row r="97" spans="1:14" x14ac:dyDescent="0.25">
      <c r="A97" s="30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</row>
    <row r="98" spans="1:14" x14ac:dyDescent="0.25">
      <c r="A98" s="304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</row>
    <row r="99" spans="1:14" x14ac:dyDescent="0.25">
      <c r="A99" s="304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</row>
    <row r="100" spans="1:14" x14ac:dyDescent="0.25">
      <c r="A100" s="304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</row>
    <row r="101" spans="1:14" x14ac:dyDescent="0.25">
      <c r="A101" s="304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</row>
    <row r="102" spans="1:14" x14ac:dyDescent="0.25">
      <c r="A102" s="304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</row>
    <row r="103" spans="1:14" x14ac:dyDescent="0.25">
      <c r="A103" s="304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</row>
    <row r="104" spans="1:14" x14ac:dyDescent="0.25">
      <c r="A104" s="304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</row>
    <row r="105" spans="1:14" x14ac:dyDescent="0.25">
      <c r="A105" s="304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304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304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304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304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304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304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304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304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304"/>
      <c r="B114" s="51"/>
      <c r="C114" s="51"/>
      <c r="D114" s="51"/>
      <c r="E114" s="51"/>
      <c r="F114" s="51"/>
      <c r="G114" s="304"/>
      <c r="H114" s="51"/>
      <c r="I114" s="51"/>
      <c r="J114" s="51"/>
      <c r="K114" s="51"/>
      <c r="L114" s="51"/>
      <c r="M114" s="51"/>
      <c r="N114" s="51"/>
    </row>
    <row r="115" spans="1:14" x14ac:dyDescent="0.25">
      <c r="A115" s="304"/>
      <c r="B115" s="304"/>
      <c r="C115" s="304"/>
      <c r="D115" s="304"/>
      <c r="E115" s="304"/>
      <c r="F115" s="304"/>
      <c r="G115" s="304"/>
      <c r="H115" s="304"/>
      <c r="I115" s="304"/>
      <c r="J115" s="304"/>
      <c r="K115" s="304"/>
      <c r="L115" s="304"/>
      <c r="M115" s="304"/>
      <c r="N115" s="51"/>
    </row>
    <row r="116" spans="1:14" x14ac:dyDescent="0.25">
      <c r="A116" s="304"/>
      <c r="B116" s="304"/>
      <c r="C116" s="304"/>
      <c r="D116" s="304"/>
      <c r="E116" s="304"/>
      <c r="F116" s="304"/>
      <c r="G116" s="304"/>
      <c r="H116" s="304"/>
      <c r="I116" s="304"/>
      <c r="J116" s="304"/>
      <c r="K116" s="304"/>
      <c r="L116" s="304"/>
      <c r="M116" s="304"/>
      <c r="N116" s="51"/>
    </row>
    <row r="117" spans="1:14" x14ac:dyDescent="0.25">
      <c r="A117" s="304"/>
      <c r="B117" s="304"/>
      <c r="C117" s="304"/>
      <c r="D117" s="304"/>
      <c r="E117" s="304"/>
      <c r="F117" s="304"/>
      <c r="G117" s="304"/>
      <c r="H117" s="304"/>
      <c r="I117" s="304"/>
      <c r="J117" s="304"/>
      <c r="K117" s="304"/>
      <c r="L117" s="304"/>
      <c r="M117" s="304"/>
      <c r="N117" s="51"/>
    </row>
    <row r="118" spans="1:14" x14ac:dyDescent="0.25">
      <c r="A118" s="304"/>
      <c r="B118" s="304"/>
      <c r="C118" s="304"/>
      <c r="D118" s="304"/>
      <c r="E118" s="304"/>
      <c r="F118" s="304"/>
      <c r="G118" s="304"/>
      <c r="H118" s="304"/>
      <c r="I118" s="304"/>
      <c r="J118" s="304"/>
      <c r="K118" s="304"/>
      <c r="L118" s="304"/>
      <c r="M118" s="304"/>
      <c r="N118" s="51"/>
    </row>
    <row r="119" spans="1:14" x14ac:dyDescent="0.25">
      <c r="A119" s="304"/>
      <c r="B119" s="304"/>
      <c r="C119" s="304"/>
      <c r="D119" s="304"/>
      <c r="E119" s="304"/>
      <c r="F119" s="304"/>
      <c r="G119" s="304"/>
      <c r="H119" s="304"/>
      <c r="I119" s="304"/>
      <c r="J119" s="304"/>
      <c r="K119" s="304"/>
      <c r="L119" s="304"/>
      <c r="M119" s="304"/>
      <c r="N119" s="51"/>
    </row>
    <row r="120" spans="1:14" x14ac:dyDescent="0.25">
      <c r="A120" s="304"/>
      <c r="B120" s="304"/>
      <c r="C120" s="304"/>
      <c r="D120" s="304"/>
      <c r="E120" s="304"/>
      <c r="F120" s="304"/>
      <c r="G120" s="304"/>
      <c r="H120" s="304"/>
      <c r="I120" s="304"/>
      <c r="J120" s="304"/>
      <c r="K120" s="304"/>
      <c r="L120" s="304"/>
      <c r="M120" s="304"/>
      <c r="N120" s="51"/>
    </row>
    <row r="121" spans="1:14" x14ac:dyDescent="0.25">
      <c r="A121" s="304"/>
      <c r="B121" s="304"/>
      <c r="C121" s="304"/>
      <c r="D121" s="304"/>
      <c r="E121" s="304"/>
      <c r="F121" s="304"/>
      <c r="G121" s="304"/>
      <c r="H121" s="304"/>
      <c r="I121" s="304"/>
      <c r="J121" s="304"/>
      <c r="K121" s="304"/>
      <c r="L121" s="304"/>
      <c r="M121" s="304"/>
      <c r="N121" s="51"/>
    </row>
    <row r="122" spans="1:14" x14ac:dyDescent="0.25">
      <c r="A122" s="304"/>
      <c r="B122" s="304"/>
      <c r="C122" s="304"/>
      <c r="D122" s="304"/>
      <c r="E122" s="304"/>
      <c r="F122" s="304"/>
      <c r="G122" s="304"/>
      <c r="H122" s="304"/>
      <c r="I122" s="304"/>
      <c r="J122" s="304"/>
      <c r="K122" s="304"/>
      <c r="L122" s="304"/>
      <c r="M122" s="304"/>
      <c r="N122" s="51"/>
    </row>
    <row r="123" spans="1:14" x14ac:dyDescent="0.25">
      <c r="A123" s="304"/>
      <c r="B123" s="304"/>
      <c r="C123" s="304"/>
      <c r="D123" s="304"/>
      <c r="E123" s="304"/>
      <c r="F123" s="304"/>
      <c r="G123" s="304"/>
      <c r="H123" s="304"/>
      <c r="I123" s="304"/>
      <c r="J123" s="304"/>
      <c r="K123" s="304"/>
      <c r="L123" s="304"/>
      <c r="M123" s="304"/>
      <c r="N123" s="51"/>
    </row>
    <row r="124" spans="1:14" x14ac:dyDescent="0.25">
      <c r="A124" s="304"/>
      <c r="B124" s="304"/>
      <c r="C124" s="304"/>
      <c r="D124" s="304"/>
      <c r="E124" s="304"/>
      <c r="F124" s="304"/>
      <c r="G124" s="304"/>
      <c r="H124" s="304"/>
      <c r="I124" s="304"/>
      <c r="J124" s="304"/>
      <c r="K124" s="304"/>
      <c r="L124" s="304"/>
      <c r="M124" s="304"/>
      <c r="N124" s="51"/>
    </row>
    <row r="125" spans="1:14" x14ac:dyDescent="0.25">
      <c r="A125" s="304"/>
      <c r="B125" s="304"/>
      <c r="C125" s="304"/>
      <c r="D125" s="304"/>
      <c r="E125" s="304"/>
      <c r="F125" s="304"/>
      <c r="G125" s="50"/>
      <c r="H125" s="304"/>
      <c r="I125" s="304"/>
      <c r="J125" s="304"/>
      <c r="K125" s="304"/>
      <c r="L125" s="304"/>
      <c r="M125" s="304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79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184</v>
      </c>
      <c r="H14" s="185" t="s">
        <v>105</v>
      </c>
      <c r="I14" s="185" t="s">
        <v>132</v>
      </c>
      <c r="J14" s="280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2026-04-09T20:36:46Z</dcterms:modified>
</cp:coreProperties>
</file>